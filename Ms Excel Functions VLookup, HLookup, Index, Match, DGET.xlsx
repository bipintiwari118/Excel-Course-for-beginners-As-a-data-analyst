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457BA0CF-3141-4AC9-BA34-6F744D2C83A4}" xr6:coauthVersionLast="47" xr6:coauthVersionMax="47" xr10:uidLastSave="{00000000-0000-0000-0000-000000000000}"/>
  <bookViews>
    <workbookView xWindow="-108" yWindow="-108" windowWidth="23256" windowHeight="12456" xr2:uid="{F98D100A-FF2C-4B2D-A2CB-054F73D04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3" i="1" l="1"/>
  <c r="V63" i="1"/>
  <c r="W63" i="1"/>
  <c r="X63" i="1"/>
  <c r="Y63" i="1"/>
  <c r="Z63" i="1"/>
  <c r="AA63" i="1"/>
  <c r="AB63" i="1"/>
  <c r="J63" i="1"/>
  <c r="G63" i="1"/>
  <c r="H63" i="1"/>
  <c r="I63" i="1"/>
  <c r="K63" i="1"/>
  <c r="L63" i="1"/>
  <c r="F63" i="1"/>
  <c r="R43" i="1"/>
  <c r="Q33" i="1"/>
  <c r="R33" i="1" s="1"/>
  <c r="S33" i="1" s="1"/>
  <c r="T33" i="1" s="1"/>
  <c r="U33" i="1" s="1"/>
  <c r="V33" i="1" s="1"/>
  <c r="W33" i="1" s="1"/>
  <c r="W20" i="1"/>
  <c r="V20" i="1"/>
  <c r="U20" i="1"/>
  <c r="T20" i="1"/>
  <c r="S20" i="1"/>
  <c r="R20" i="1"/>
  <c r="Q20" i="1"/>
  <c r="R9" i="1"/>
  <c r="S9" i="1"/>
  <c r="T9" i="1"/>
  <c r="U9" i="1"/>
  <c r="V9" i="1"/>
  <c r="W9" i="1"/>
  <c r="Q9" i="1"/>
</calcChain>
</file>

<file path=xl/sharedStrings.xml><?xml version="1.0" encoding="utf-8"?>
<sst xmlns="http://schemas.openxmlformats.org/spreadsheetml/2006/main" count="155" uniqueCount="110">
  <si>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</si>
  <si>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</si>
  <si>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</si>
  <si>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</si>
  <si>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</si>
  <si>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</si>
  <si>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</si>
  <si>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</si>
  <si>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</si>
  <si>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</si>
  <si>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</si>
  <si>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</si>
  <si>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</si>
  <si>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</si>
  <si>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</si>
  <si>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</si>
  <si>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</si>
  <si>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</si>
  <si>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</si>
  <si>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</si>
  <si>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</si>
  <si>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</si>
  <si>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</si>
  <si>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</si>
  <si>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</si>
  <si>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</si>
  <si>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</si>
  <si>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</si>
  <si>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</si>
  <si>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</si>
  <si>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</si>
  <si>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</si>
  <si>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</si>
  <si>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</si>
  <si>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</si>
  <si>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</si>
  <si>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</si>
  <si>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</si>
  <si>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</si>
  <si>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</si>
  <si>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</si>
  <si>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</si>
  <si>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</si>
  <si>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</si>
  <si>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</si>
  <si>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</si>
  <si>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</si>
  <si>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</si>
  <si>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</si>
  <si>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</si>
  <si>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</si>
  <si>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</si>
  <si>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</si>
  <si>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</si>
  <si>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</si>
  <si>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</si>
  <si>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</si>
  <si>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</si>
  <si>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</si>
  <si>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</si>
  <si>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</si>
  <si>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</si>
  <si>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</si>
  <si>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</si>
  <si>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</si>
  <si>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</si>
  <si>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</si>
  <si>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</si>
  <si>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</si>
  <si>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</si>
  <si>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</si>
  <si>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</si>
  <si>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</si>
  <si>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</si>
  <si>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</si>
  <si>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</si>
  <si>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</si>
  <si>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</si>
  <si>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</si>
  <si>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</si>
  <si>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</si>
  <si>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</si>
  <si>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</si>
  <si>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</si>
  <si>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</si>
  <si>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</si>
  <si>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</si>
  <si>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</si>
  <si>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</si>
  <si>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</si>
  <si>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</si>
  <si>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</si>
  <si>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</si>
  <si>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</si>
  <si>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</si>
  <si>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</si>
  <si>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</si>
  <si>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</si>
  <si>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</si>
  <si>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LookUp Function</t>
  </si>
  <si>
    <t>p101</t>
  </si>
  <si>
    <t>p102</t>
  </si>
  <si>
    <t>p104</t>
  </si>
  <si>
    <t>VLookUp Function</t>
  </si>
  <si>
    <t>Look up value must be first column in table array</t>
  </si>
  <si>
    <t>Use MATCH and VLOOKUP function</t>
  </si>
  <si>
    <t>MATCH function return only index number</t>
  </si>
  <si>
    <t>HLookUp Function</t>
  </si>
  <si>
    <t>Index Function</t>
  </si>
  <si>
    <t>DGET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</si>
</sst>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0C15-9117-481A-A3B2-84257A118A45}">
  <dimension ref="E4:AB63"/>
  <sheetViews>
    <sheetView tabSelected="1" topLeftCell="G46" workbookViewId="0">
      <selection activeCell="T63" sqref="T63"/>
    </sheetView>
  </sheetViews>
  <sheetFormatPr defaultRowHeight="14.4" x14ac:dyDescent="0.3"/>
  <cols>
    <col min="5" max="5" width="10.88671875" bestFit="1" customWidth="1"/>
    <col min="6" max="6" width="23.6640625" bestFit="1" customWidth="1"/>
    <col min="7" max="7" width="9.44140625" customWidth="1"/>
    <col min="8" max="8" width="10.44140625" bestFit="1" customWidth="1"/>
    <col min="9" max="9" width="11" bestFit="1" customWidth="1"/>
    <col min="10" max="10" width="8.44140625" bestFit="1" customWidth="1"/>
    <col min="11" max="12" width="10.21875" bestFit="1" customWidth="1"/>
  </cols>
  <sheetData>
    <row r="4" spans="5:23" ht="25.8" x14ac:dyDescent="0.5">
      <c r="F4" s="7" t="s">
        <v>99</v>
      </c>
      <c r="G4" s="8"/>
      <c r="H4" s="8"/>
      <c r="I4" s="8"/>
      <c r="J4" s="8"/>
    </row>
    <row r="7" spans="5:23" ht="62.4" x14ac:dyDescent="0.3">
      <c r="E7" s="2" t="s">
        <v>15</v>
      </c>
      <c r="F7" s="3" t="s">
        <v>0</v>
      </c>
      <c r="G7" s="3" t="s">
        <v>1</v>
      </c>
      <c r="H7" s="3" t="s">
        <v>2</v>
      </c>
      <c r="I7" s="3" t="s">
        <v>3</v>
      </c>
      <c r="J7" s="3" t="s">
        <v>4</v>
      </c>
      <c r="K7" s="3" t="s">
        <v>5</v>
      </c>
      <c r="L7" s="3" t="s">
        <v>6</v>
      </c>
      <c r="P7" s="2" t="s">
        <v>15</v>
      </c>
      <c r="Q7" s="3" t="s">
        <v>0</v>
      </c>
      <c r="R7" s="3" t="s">
        <v>1</v>
      </c>
      <c r="S7" s="3" t="s">
        <v>2</v>
      </c>
      <c r="T7" s="3" t="s">
        <v>3</v>
      </c>
      <c r="U7" s="3" t="s">
        <v>4</v>
      </c>
      <c r="V7" s="3" t="s">
        <v>5</v>
      </c>
      <c r="W7" s="3" t="s">
        <v>6</v>
      </c>
    </row>
    <row r="8" spans="5:23" x14ac:dyDescent="0.3">
      <c r="E8" s="4" t="s">
        <v>7</v>
      </c>
      <c r="F8" s="4" t="s">
        <v>8</v>
      </c>
      <c r="G8" s="4">
        <v>50</v>
      </c>
      <c r="H8" s="4">
        <v>20</v>
      </c>
      <c r="I8" s="4">
        <v>10</v>
      </c>
      <c r="J8" s="4">
        <v>60</v>
      </c>
      <c r="K8" s="4">
        <v>1200</v>
      </c>
      <c r="L8" s="4">
        <v>72000</v>
      </c>
    </row>
    <row r="9" spans="5:23" x14ac:dyDescent="0.3">
      <c r="E9" s="4" t="s">
        <v>9</v>
      </c>
      <c r="F9" s="4" t="s">
        <v>10</v>
      </c>
      <c r="G9" s="4">
        <v>40</v>
      </c>
      <c r="H9" s="4">
        <v>15</v>
      </c>
      <c r="I9" s="4">
        <v>5</v>
      </c>
      <c r="J9" s="4">
        <v>50</v>
      </c>
      <c r="K9" s="4">
        <v>500</v>
      </c>
      <c r="L9" s="4">
        <v>25000</v>
      </c>
      <c r="P9" t="s">
        <v>102</v>
      </c>
      <c r="Q9" t="str">
        <f t="shared" ref="Q9:W9" si="0">LOOKUP($P$9,$E$8:$E$53,F8:F53)</f>
        <v>Headphones</v>
      </c>
      <c r="R9" s="1">
        <f t="shared" si="0"/>
        <v>30</v>
      </c>
      <c r="S9" s="1">
        <f t="shared" si="0"/>
        <v>10</v>
      </c>
      <c r="T9" s="1">
        <f t="shared" si="0"/>
        <v>3</v>
      </c>
      <c r="U9" s="1">
        <f t="shared" si="0"/>
        <v>37</v>
      </c>
      <c r="V9" s="1">
        <f t="shared" si="0"/>
        <v>100</v>
      </c>
      <c r="W9" s="1">
        <f t="shared" si="0"/>
        <v>3700</v>
      </c>
    </row>
    <row r="10" spans="5:23" x14ac:dyDescent="0.3">
      <c r="E10" s="4" t="s">
        <v>11</v>
      </c>
      <c r="F10" s="4" t="s">
        <v>12</v>
      </c>
      <c r="G10" s="4">
        <v>60</v>
      </c>
      <c r="H10" s="4">
        <v>25</v>
      </c>
      <c r="I10" s="4">
        <v>15</v>
      </c>
      <c r="J10" s="4">
        <v>70</v>
      </c>
      <c r="K10" s="4">
        <v>50</v>
      </c>
      <c r="L10" s="4">
        <v>3500</v>
      </c>
    </row>
    <row r="11" spans="5:23" x14ac:dyDescent="0.3">
      <c r="E11" s="4" t="s">
        <v>13</v>
      </c>
      <c r="F11" s="4" t="s">
        <v>14</v>
      </c>
      <c r="G11" s="4">
        <v>30</v>
      </c>
      <c r="H11" s="4">
        <v>10</v>
      </c>
      <c r="I11" s="4">
        <v>3</v>
      </c>
      <c r="J11" s="4">
        <v>37</v>
      </c>
      <c r="K11" s="4">
        <v>100</v>
      </c>
      <c r="L11" s="4">
        <v>3700</v>
      </c>
    </row>
    <row r="12" spans="5:23" x14ac:dyDescent="0.3">
      <c r="E12" s="4" t="s">
        <v>15</v>
      </c>
      <c r="F12" s="4" t="s">
        <v>16</v>
      </c>
      <c r="G12" s="4">
        <v>70</v>
      </c>
      <c r="H12" s="4">
        <v>30</v>
      </c>
      <c r="I12" s="4">
        <v>20</v>
      </c>
      <c r="J12" s="4">
        <v>80</v>
      </c>
      <c r="K12" s="4">
        <v>900</v>
      </c>
      <c r="L12" s="4">
        <v>72000</v>
      </c>
    </row>
    <row r="13" spans="5:23" x14ac:dyDescent="0.3">
      <c r="E13" s="4" t="s">
        <v>17</v>
      </c>
      <c r="F13" s="4" t="s">
        <v>18</v>
      </c>
      <c r="G13" s="4">
        <v>45</v>
      </c>
      <c r="H13" s="4">
        <v>18</v>
      </c>
      <c r="I13" s="4">
        <v>8</v>
      </c>
      <c r="J13" s="4">
        <v>55</v>
      </c>
      <c r="K13" s="4">
        <v>700</v>
      </c>
      <c r="L13" s="4">
        <v>38500</v>
      </c>
    </row>
    <row r="14" spans="5:23" x14ac:dyDescent="0.3">
      <c r="E14" s="4" t="s">
        <v>19</v>
      </c>
      <c r="F14" s="4" t="s">
        <v>20</v>
      </c>
      <c r="G14" s="4">
        <v>55</v>
      </c>
      <c r="H14" s="4">
        <v>22</v>
      </c>
      <c r="I14" s="4">
        <v>12</v>
      </c>
      <c r="J14" s="4">
        <v>65</v>
      </c>
      <c r="K14" s="4">
        <v>150</v>
      </c>
      <c r="L14" s="4">
        <v>9750</v>
      </c>
    </row>
    <row r="15" spans="5:23" ht="25.8" x14ac:dyDescent="0.5">
      <c r="E15" s="4" t="s">
        <v>21</v>
      </c>
      <c r="F15" s="4" t="s">
        <v>22</v>
      </c>
      <c r="G15" s="4">
        <v>25</v>
      </c>
      <c r="H15" s="4">
        <v>12</v>
      </c>
      <c r="I15" s="4">
        <v>5</v>
      </c>
      <c r="J15" s="4">
        <v>32</v>
      </c>
      <c r="K15" s="4">
        <v>200</v>
      </c>
      <c r="L15" s="4">
        <v>6400</v>
      </c>
      <c r="P15" s="7" t="s">
        <v>103</v>
      </c>
      <c r="Q15" s="8"/>
      <c r="R15" s="8"/>
      <c r="S15" s="8"/>
      <c r="T15" s="8"/>
    </row>
    <row r="16" spans="5:23" x14ac:dyDescent="0.3">
      <c r="E16" s="4" t="s">
        <v>23</v>
      </c>
      <c r="F16" s="4" t="s">
        <v>24</v>
      </c>
      <c r="G16" s="4">
        <v>35</v>
      </c>
      <c r="H16" s="4">
        <v>15</v>
      </c>
      <c r="I16" s="4">
        <v>7</v>
      </c>
      <c r="J16" s="4">
        <v>43</v>
      </c>
      <c r="K16" s="4">
        <v>80</v>
      </c>
      <c r="L16" s="4">
        <v>3440</v>
      </c>
      <c r="O16" s="9" t="s">
        <v>104</v>
      </c>
      <c r="P16" s="6"/>
      <c r="Q16" s="6"/>
      <c r="R16" s="6"/>
      <c r="S16" s="6"/>
      <c r="T16" s="6"/>
      <c r="U16" s="6"/>
      <c r="V16" s="6"/>
    </row>
    <row r="17" spans="5:23" x14ac:dyDescent="0.3">
      <c r="E17" s="4" t="s">
        <v>25</v>
      </c>
      <c r="F17" s="4" t="s">
        <v>26</v>
      </c>
      <c r="G17" s="4">
        <v>40</v>
      </c>
      <c r="H17" s="4">
        <v>20</v>
      </c>
      <c r="I17" s="4">
        <v>10</v>
      </c>
      <c r="J17" s="4">
        <v>50</v>
      </c>
      <c r="K17" s="4">
        <v>60</v>
      </c>
      <c r="L17" s="4">
        <v>3000</v>
      </c>
      <c r="O17" s="6"/>
      <c r="P17" s="6"/>
      <c r="Q17" s="6"/>
      <c r="R17" s="6"/>
      <c r="S17" s="6"/>
      <c r="T17" s="6"/>
      <c r="U17" s="6"/>
      <c r="V17" s="6"/>
    </row>
    <row r="18" spans="5:23" ht="62.4" x14ac:dyDescent="0.3">
      <c r="E18" s="4" t="s">
        <v>27</v>
      </c>
      <c r="F18" s="4" t="s">
        <v>28</v>
      </c>
      <c r="G18" s="4">
        <v>20</v>
      </c>
      <c r="H18" s="4">
        <v>8</v>
      </c>
      <c r="I18" s="4">
        <v>3</v>
      </c>
      <c r="J18" s="4">
        <v>25</v>
      </c>
      <c r="K18" s="4">
        <v>150</v>
      </c>
      <c r="L18" s="4">
        <v>3750</v>
      </c>
      <c r="P18" s="2" t="s">
        <v>15</v>
      </c>
      <c r="Q18" s="3" t="s">
        <v>0</v>
      </c>
      <c r="R18" s="3" t="s">
        <v>1</v>
      </c>
      <c r="S18" s="3" t="s">
        <v>2</v>
      </c>
      <c r="T18" s="3" t="s">
        <v>3</v>
      </c>
      <c r="U18" s="3" t="s">
        <v>4</v>
      </c>
      <c r="V18" s="3" t="s">
        <v>5</v>
      </c>
      <c r="W18" s="3" t="s">
        <v>6</v>
      </c>
    </row>
    <row r="19" spans="5:23" x14ac:dyDescent="0.3">
      <c r="E19" s="4" t="s">
        <v>29</v>
      </c>
      <c r="F19" s="4" t="s">
        <v>30</v>
      </c>
      <c r="G19" s="4">
        <v>30</v>
      </c>
      <c r="H19" s="4">
        <v>15</v>
      </c>
      <c r="I19" s="4">
        <v>7</v>
      </c>
      <c r="J19" s="4">
        <v>38</v>
      </c>
      <c r="K19" s="4">
        <v>30</v>
      </c>
      <c r="L19" s="4">
        <v>1140</v>
      </c>
    </row>
    <row r="20" spans="5:23" x14ac:dyDescent="0.3">
      <c r="E20" s="4" t="s">
        <v>31</v>
      </c>
      <c r="F20" s="4" t="s">
        <v>32</v>
      </c>
      <c r="G20" s="4">
        <v>50</v>
      </c>
      <c r="H20" s="4">
        <v>25</v>
      </c>
      <c r="I20" s="4">
        <v>12</v>
      </c>
      <c r="J20" s="4">
        <v>63</v>
      </c>
      <c r="K20" s="4">
        <v>20</v>
      </c>
      <c r="L20" s="4">
        <v>1260</v>
      </c>
      <c r="P20" t="s">
        <v>101</v>
      </c>
      <c r="Q20" t="str">
        <f>VLOOKUP($P$20,$E$7:$L$53,2,0)</f>
        <v>Monitor</v>
      </c>
      <c r="R20" s="1">
        <f>VLOOKUP($P$20,$E$7:$L$53,3,0)</f>
        <v>40</v>
      </c>
      <c r="S20" s="1">
        <f>VLOOKUP($P$20,$E$7:$L$53,4,0)</f>
        <v>15</v>
      </c>
      <c r="T20" s="1">
        <f>VLOOKUP($P$20,$E$7:$L$53,5,0)</f>
        <v>5</v>
      </c>
      <c r="U20" s="1">
        <f>VLOOKUP($P$20,$E$7:$L$53,6,0)</f>
        <v>50</v>
      </c>
      <c r="V20" s="1">
        <f>VLOOKUP($P$20,$E$7:$L$53,7,0)</f>
        <v>500</v>
      </c>
      <c r="W20" s="1">
        <f>VLOOKUP($P$20,$E$7:$L$53,8,0)</f>
        <v>25000</v>
      </c>
    </row>
    <row r="21" spans="5:23" x14ac:dyDescent="0.3">
      <c r="E21" s="4" t="s">
        <v>33</v>
      </c>
      <c r="F21" s="4" t="s">
        <v>34</v>
      </c>
      <c r="G21" s="4">
        <v>60</v>
      </c>
      <c r="H21" s="4">
        <v>30</v>
      </c>
      <c r="I21" s="4">
        <v>15</v>
      </c>
      <c r="J21" s="4">
        <v>75</v>
      </c>
      <c r="K21" s="4">
        <v>10</v>
      </c>
      <c r="L21" s="4">
        <v>750</v>
      </c>
    </row>
    <row r="22" spans="5:23" x14ac:dyDescent="0.3">
      <c r="E22" s="4" t="s">
        <v>35</v>
      </c>
      <c r="F22" s="4" t="s">
        <v>36</v>
      </c>
      <c r="G22" s="4">
        <v>40</v>
      </c>
      <c r="H22" s="4">
        <v>20</v>
      </c>
      <c r="I22" s="4">
        <v>8</v>
      </c>
      <c r="J22" s="4">
        <v>52</v>
      </c>
      <c r="K22" s="4">
        <v>25</v>
      </c>
      <c r="L22" s="4">
        <v>1300</v>
      </c>
    </row>
    <row r="23" spans="5:23" x14ac:dyDescent="0.3">
      <c r="E23" s="4" t="s">
        <v>37</v>
      </c>
      <c r="F23" s="4" t="s">
        <v>38</v>
      </c>
      <c r="G23" s="4">
        <v>35</v>
      </c>
      <c r="H23" s="4">
        <v>15</v>
      </c>
      <c r="I23" s="4">
        <v>5</v>
      </c>
      <c r="J23" s="4">
        <v>45</v>
      </c>
      <c r="K23" s="4">
        <v>40</v>
      </c>
      <c r="L23" s="4">
        <v>1800</v>
      </c>
    </row>
    <row r="24" spans="5:23" x14ac:dyDescent="0.3">
      <c r="E24" s="4" t="s">
        <v>39</v>
      </c>
      <c r="F24" s="4" t="s">
        <v>40</v>
      </c>
      <c r="G24" s="4">
        <v>25</v>
      </c>
      <c r="H24" s="4">
        <v>10</v>
      </c>
      <c r="I24" s="4">
        <v>4</v>
      </c>
      <c r="J24" s="4">
        <v>31</v>
      </c>
      <c r="K24" s="4">
        <v>100</v>
      </c>
      <c r="L24" s="4">
        <v>3100</v>
      </c>
    </row>
    <row r="25" spans="5:23" x14ac:dyDescent="0.3">
      <c r="E25" s="4" t="s">
        <v>41</v>
      </c>
      <c r="F25" s="4" t="s">
        <v>42</v>
      </c>
      <c r="G25" s="4">
        <v>30</v>
      </c>
      <c r="H25" s="4">
        <v>12</v>
      </c>
      <c r="I25" s="4">
        <v>6</v>
      </c>
      <c r="J25" s="4">
        <v>36</v>
      </c>
      <c r="K25" s="4">
        <v>80</v>
      </c>
      <c r="L25" s="4">
        <v>2880</v>
      </c>
      <c r="P25" s="10" t="s">
        <v>105</v>
      </c>
      <c r="Q25" s="11"/>
      <c r="R25" s="11"/>
      <c r="S25" s="11"/>
      <c r="T25" s="11"/>
      <c r="U25" s="11"/>
    </row>
    <row r="26" spans="5:23" x14ac:dyDescent="0.3">
      <c r="E26" s="4" t="s">
        <v>43</v>
      </c>
      <c r="F26" s="4" t="s">
        <v>44</v>
      </c>
      <c r="G26" s="4">
        <v>20</v>
      </c>
      <c r="H26" s="4">
        <v>8</v>
      </c>
      <c r="I26" s="4">
        <v>3</v>
      </c>
      <c r="J26" s="4">
        <v>25</v>
      </c>
      <c r="K26" s="4">
        <v>120</v>
      </c>
      <c r="L26" s="4">
        <v>3000</v>
      </c>
      <c r="P26" s="11"/>
      <c r="Q26" s="11"/>
      <c r="R26" s="11"/>
      <c r="S26" s="11"/>
      <c r="T26" s="11"/>
      <c r="U26" s="11"/>
    </row>
    <row r="27" spans="5:23" x14ac:dyDescent="0.3">
      <c r="E27" s="4" t="s">
        <v>45</v>
      </c>
      <c r="F27" s="4" t="s">
        <v>46</v>
      </c>
      <c r="G27" s="4">
        <v>15</v>
      </c>
      <c r="H27" s="4">
        <v>6</v>
      </c>
      <c r="I27" s="4">
        <v>2</v>
      </c>
      <c r="J27" s="4">
        <v>19</v>
      </c>
      <c r="K27" s="4">
        <v>200</v>
      </c>
      <c r="L27" s="4">
        <v>3800</v>
      </c>
      <c r="Q27" s="6"/>
      <c r="R27" s="6"/>
      <c r="S27" s="6"/>
      <c r="T27" s="6"/>
    </row>
    <row r="28" spans="5:23" ht="18" x14ac:dyDescent="0.35">
      <c r="E28" s="4" t="s">
        <v>47</v>
      </c>
      <c r="F28" s="4" t="s">
        <v>48</v>
      </c>
      <c r="G28" s="4">
        <v>25</v>
      </c>
      <c r="H28" s="4">
        <v>10</v>
      </c>
      <c r="I28" s="4">
        <v>4</v>
      </c>
      <c r="J28" s="4">
        <v>29</v>
      </c>
      <c r="K28" s="4">
        <v>400</v>
      </c>
      <c r="L28" s="4">
        <v>11600</v>
      </c>
      <c r="P28" s="5" t="s">
        <v>106</v>
      </c>
      <c r="Q28" s="6"/>
      <c r="R28" s="6"/>
      <c r="S28" s="6"/>
      <c r="T28" s="6"/>
    </row>
    <row r="29" spans="5:23" x14ac:dyDescent="0.3">
      <c r="E29" s="4" t="s">
        <v>49</v>
      </c>
      <c r="F29" s="4" t="s">
        <v>50</v>
      </c>
      <c r="G29" s="4">
        <v>40</v>
      </c>
      <c r="H29" s="4">
        <v>18</v>
      </c>
      <c r="I29" s="4">
        <v>9</v>
      </c>
      <c r="J29" s="4">
        <v>49</v>
      </c>
      <c r="K29" s="4">
        <v>600</v>
      </c>
      <c r="L29" s="4">
        <v>29400</v>
      </c>
    </row>
    <row r="30" spans="5:23" x14ac:dyDescent="0.3">
      <c r="E30" s="4" t="s">
        <v>51</v>
      </c>
      <c r="F30" s="4" t="s">
        <v>52</v>
      </c>
      <c r="G30" s="4">
        <v>30</v>
      </c>
      <c r="H30" s="4">
        <v>15</v>
      </c>
      <c r="I30" s="4">
        <v>7</v>
      </c>
      <c r="J30" s="4">
        <v>38</v>
      </c>
      <c r="K30" s="4">
        <v>350</v>
      </c>
      <c r="L30" s="4">
        <v>13300</v>
      </c>
    </row>
    <row r="31" spans="5:23" ht="62.4" x14ac:dyDescent="0.3">
      <c r="E31" s="4" t="s">
        <v>53</v>
      </c>
      <c r="F31" s="4" t="s">
        <v>54</v>
      </c>
      <c r="G31" s="4">
        <v>25</v>
      </c>
      <c r="H31" s="4">
        <v>12</v>
      </c>
      <c r="I31" s="4">
        <v>5</v>
      </c>
      <c r="J31" s="4">
        <v>32</v>
      </c>
      <c r="K31" s="4">
        <v>200</v>
      </c>
      <c r="L31" s="4">
        <v>6400</v>
      </c>
      <c r="P31" s="2" t="s">
        <v>15</v>
      </c>
      <c r="Q31" s="3" t="s">
        <v>0</v>
      </c>
      <c r="R31" s="3" t="s">
        <v>1</v>
      </c>
      <c r="S31" s="3" t="s">
        <v>2</v>
      </c>
      <c r="T31" s="3" t="s">
        <v>3</v>
      </c>
      <c r="U31" s="3" t="s">
        <v>4</v>
      </c>
      <c r="V31" s="3" t="s">
        <v>5</v>
      </c>
      <c r="W31" s="3" t="s">
        <v>6</v>
      </c>
    </row>
    <row r="32" spans="5:23" x14ac:dyDescent="0.3">
      <c r="E32" s="4" t="s">
        <v>55</v>
      </c>
      <c r="F32" s="4" t="s">
        <v>56</v>
      </c>
      <c r="G32" s="4">
        <v>50</v>
      </c>
      <c r="H32" s="4">
        <v>22</v>
      </c>
      <c r="I32" s="4">
        <v>11</v>
      </c>
      <c r="J32" s="4">
        <v>61</v>
      </c>
      <c r="K32" s="4">
        <v>80</v>
      </c>
      <c r="L32" s="4">
        <v>4880</v>
      </c>
    </row>
    <row r="33" spans="5:23" x14ac:dyDescent="0.3">
      <c r="E33" s="4" t="s">
        <v>57</v>
      </c>
      <c r="F33" s="4" t="s">
        <v>58</v>
      </c>
      <c r="G33" s="4">
        <v>45</v>
      </c>
      <c r="H33" s="4">
        <v>20</v>
      </c>
      <c r="I33" s="4">
        <v>8</v>
      </c>
      <c r="J33" s="4">
        <v>57</v>
      </c>
      <c r="K33" s="4">
        <v>120</v>
      </c>
      <c r="L33" s="4">
        <v>6840</v>
      </c>
      <c r="P33" t="s">
        <v>100</v>
      </c>
      <c r="Q33" t="str">
        <f>VLOOKUP(P33,E7:L53,MATCH(F7,E7:L7,0),0)</f>
        <v>Laptop</v>
      </c>
      <c r="R33" s="1">
        <f t="shared" ref="R33:W33" si="1">VLOOKUP(Q33,F7:M53,MATCH(G7,F7:M7,0),0)</f>
        <v>50</v>
      </c>
      <c r="S33" s="1">
        <f t="shared" si="1"/>
        <v>20</v>
      </c>
      <c r="T33" s="1">
        <f t="shared" si="1"/>
        <v>10</v>
      </c>
      <c r="U33" s="1">
        <f t="shared" si="1"/>
        <v>60</v>
      </c>
      <c r="V33" s="1">
        <f t="shared" si="1"/>
        <v>1200</v>
      </c>
      <c r="W33" s="1">
        <f t="shared" si="1"/>
        <v>72000</v>
      </c>
    </row>
    <row r="34" spans="5:23" x14ac:dyDescent="0.3">
      <c r="E34" s="4" t="s">
        <v>59</v>
      </c>
      <c r="F34" s="4" t="s">
        <v>60</v>
      </c>
      <c r="G34" s="4">
        <v>60</v>
      </c>
      <c r="H34" s="4">
        <v>25</v>
      </c>
      <c r="I34" s="4">
        <v>12</v>
      </c>
      <c r="J34" s="4">
        <v>73</v>
      </c>
      <c r="K34" s="4">
        <v>60</v>
      </c>
      <c r="L34" s="4">
        <v>4380</v>
      </c>
    </row>
    <row r="35" spans="5:23" x14ac:dyDescent="0.3">
      <c r="E35" s="4" t="s">
        <v>61</v>
      </c>
      <c r="F35" s="4" t="s">
        <v>62</v>
      </c>
      <c r="G35" s="4">
        <v>35</v>
      </c>
      <c r="H35" s="4">
        <v>15</v>
      </c>
      <c r="I35" s="4">
        <v>6</v>
      </c>
      <c r="J35" s="4">
        <v>44</v>
      </c>
      <c r="K35" s="4">
        <v>100</v>
      </c>
      <c r="L35" s="4">
        <v>4400</v>
      </c>
    </row>
    <row r="36" spans="5:23" x14ac:dyDescent="0.3">
      <c r="E36" s="4" t="s">
        <v>63</v>
      </c>
      <c r="F36" s="4" t="s">
        <v>64</v>
      </c>
      <c r="G36" s="4">
        <v>40</v>
      </c>
      <c r="H36" s="4">
        <v>18</v>
      </c>
      <c r="I36" s="4">
        <v>9</v>
      </c>
      <c r="J36" s="4">
        <v>49</v>
      </c>
      <c r="K36" s="4">
        <v>80</v>
      </c>
      <c r="L36" s="4">
        <v>3920</v>
      </c>
    </row>
    <row r="37" spans="5:23" x14ac:dyDescent="0.3">
      <c r="E37" s="4" t="s">
        <v>65</v>
      </c>
      <c r="F37" s="4" t="s">
        <v>66</v>
      </c>
      <c r="G37" s="4">
        <v>30</v>
      </c>
      <c r="H37" s="4">
        <v>12</v>
      </c>
      <c r="I37" s="4">
        <v>4</v>
      </c>
      <c r="J37" s="4">
        <v>34</v>
      </c>
      <c r="K37" s="4">
        <v>50</v>
      </c>
      <c r="L37" s="4">
        <v>1700</v>
      </c>
    </row>
    <row r="38" spans="5:23" x14ac:dyDescent="0.3">
      <c r="E38" s="4" t="s">
        <v>67</v>
      </c>
      <c r="F38" s="4" t="s">
        <v>68</v>
      </c>
      <c r="G38" s="4">
        <v>25</v>
      </c>
      <c r="H38" s="4">
        <v>10</v>
      </c>
      <c r="I38" s="4">
        <v>3</v>
      </c>
      <c r="J38" s="4">
        <v>28</v>
      </c>
      <c r="K38" s="4">
        <v>30</v>
      </c>
      <c r="L38" s="4">
        <v>840</v>
      </c>
    </row>
    <row r="39" spans="5:23" x14ac:dyDescent="0.3">
      <c r="E39" s="4" t="s">
        <v>69</v>
      </c>
      <c r="F39" s="4" t="s">
        <v>70</v>
      </c>
      <c r="G39" s="4">
        <v>50</v>
      </c>
      <c r="H39" s="4">
        <v>20</v>
      </c>
      <c r="I39" s="4">
        <v>8</v>
      </c>
      <c r="J39" s="4">
        <v>58</v>
      </c>
      <c r="K39" s="4">
        <v>10</v>
      </c>
      <c r="L39" s="4">
        <v>580</v>
      </c>
    </row>
    <row r="40" spans="5:23" ht="25.8" x14ac:dyDescent="0.5">
      <c r="E40" s="4" t="s">
        <v>71</v>
      </c>
      <c r="F40" s="4" t="s">
        <v>72</v>
      </c>
      <c r="G40" s="4">
        <v>40</v>
      </c>
      <c r="H40" s="4">
        <v>15</v>
      </c>
      <c r="I40" s="4">
        <v>5</v>
      </c>
      <c r="J40" s="4">
        <v>50</v>
      </c>
      <c r="K40" s="4">
        <v>5</v>
      </c>
      <c r="L40" s="4">
        <v>250</v>
      </c>
      <c r="R40" s="7" t="s">
        <v>107</v>
      </c>
      <c r="S40" s="8"/>
      <c r="T40" s="8"/>
      <c r="U40" s="8"/>
      <c r="V40" s="8"/>
    </row>
    <row r="41" spans="5:23" x14ac:dyDescent="0.3">
      <c r="E41" s="4" t="s">
        <v>73</v>
      </c>
      <c r="F41" s="4" t="s">
        <v>74</v>
      </c>
      <c r="G41" s="4">
        <v>30</v>
      </c>
      <c r="H41" s="4">
        <v>12</v>
      </c>
      <c r="I41" s="4">
        <v>4</v>
      </c>
      <c r="J41" s="4">
        <v>34</v>
      </c>
      <c r="K41" s="4">
        <v>15</v>
      </c>
      <c r="L41" s="4">
        <v>510</v>
      </c>
    </row>
    <row r="42" spans="5:23" x14ac:dyDescent="0.3">
      <c r="E42" s="4" t="s">
        <v>75</v>
      </c>
      <c r="F42" s="4" t="s">
        <v>76</v>
      </c>
      <c r="G42" s="4">
        <v>20</v>
      </c>
      <c r="H42" s="4">
        <v>8</v>
      </c>
      <c r="I42" s="4">
        <v>3</v>
      </c>
      <c r="J42" s="4">
        <v>23</v>
      </c>
      <c r="K42" s="4">
        <v>20</v>
      </c>
      <c r="L42" s="4">
        <v>460</v>
      </c>
      <c r="R42" t="s">
        <v>7</v>
      </c>
    </row>
    <row r="43" spans="5:23" x14ac:dyDescent="0.3">
      <c r="E43" s="4" t="s">
        <v>77</v>
      </c>
      <c r="F43" s="4" t="s">
        <v>78</v>
      </c>
      <c r="G43" s="4">
        <v>15</v>
      </c>
      <c r="H43" s="4">
        <v>6</v>
      </c>
      <c r="I43" s="4">
        <v>2</v>
      </c>
      <c r="J43" s="4">
        <v>17</v>
      </c>
      <c r="K43" s="4">
        <v>50</v>
      </c>
      <c r="L43" s="4">
        <v>850</v>
      </c>
      <c r="Q43" t="s">
        <v>0</v>
      </c>
      <c r="R43" t="str">
        <f>HLOOKUP(Q43,E7:L53,MATCH(R42,E8:E53,0),0)</f>
        <v>Product Name</v>
      </c>
    </row>
    <row r="44" spans="5:23" x14ac:dyDescent="0.3">
      <c r="E44" s="4" t="s">
        <v>79</v>
      </c>
      <c r="F44" s="4" t="s">
        <v>80</v>
      </c>
      <c r="G44" s="4">
        <v>25</v>
      </c>
      <c r="H44" s="4">
        <v>10</v>
      </c>
      <c r="I44" s="4">
        <v>4</v>
      </c>
      <c r="J44" s="4">
        <v>29</v>
      </c>
      <c r="K44" s="4">
        <v>5</v>
      </c>
      <c r="L44" s="4">
        <v>145</v>
      </c>
    </row>
    <row r="45" spans="5:23" x14ac:dyDescent="0.3">
      <c r="E45" s="4" t="s">
        <v>81</v>
      </c>
      <c r="F45" s="4" t="s">
        <v>82</v>
      </c>
      <c r="G45" s="4">
        <v>40</v>
      </c>
      <c r="H45" s="4">
        <v>18</v>
      </c>
      <c r="I45" s="4">
        <v>9</v>
      </c>
      <c r="J45" s="4">
        <v>49</v>
      </c>
      <c r="K45" s="4">
        <v>8</v>
      </c>
      <c r="L45" s="4">
        <v>392</v>
      </c>
    </row>
    <row r="46" spans="5:23" x14ac:dyDescent="0.3">
      <c r="E46" s="4" t="s">
        <v>83</v>
      </c>
      <c r="F46" s="4" t="s">
        <v>84</v>
      </c>
      <c r="G46" s="4">
        <v>30</v>
      </c>
      <c r="H46" s="4">
        <v>15</v>
      </c>
      <c r="I46" s="4">
        <v>6</v>
      </c>
      <c r="J46" s="4">
        <v>39</v>
      </c>
      <c r="K46" s="4">
        <v>20</v>
      </c>
      <c r="L46" s="4">
        <v>780</v>
      </c>
    </row>
    <row r="47" spans="5:23" x14ac:dyDescent="0.3">
      <c r="E47" s="4" t="s">
        <v>85</v>
      </c>
      <c r="F47" s="4" t="s">
        <v>86</v>
      </c>
      <c r="G47" s="4">
        <v>35</v>
      </c>
      <c r="H47" s="4">
        <v>12</v>
      </c>
      <c r="I47" s="4">
        <v>4</v>
      </c>
      <c r="J47" s="4">
        <v>31</v>
      </c>
      <c r="K47" s="4">
        <v>15</v>
      </c>
      <c r="L47" s="4">
        <v>465</v>
      </c>
    </row>
    <row r="48" spans="5:23" x14ac:dyDescent="0.3">
      <c r="E48" s="4" t="s">
        <v>87</v>
      </c>
      <c r="F48" s="4" t="s">
        <v>88</v>
      </c>
      <c r="G48" s="4">
        <v>25</v>
      </c>
      <c r="H48" s="4">
        <v>8</v>
      </c>
      <c r="I48" s="4">
        <v>3</v>
      </c>
      <c r="J48" s="4">
        <v>28</v>
      </c>
      <c r="K48" s="4">
        <v>10</v>
      </c>
      <c r="L48" s="4">
        <v>280</v>
      </c>
    </row>
    <row r="49" spans="5:28" x14ac:dyDescent="0.3">
      <c r="E49" s="4" t="s">
        <v>89</v>
      </c>
      <c r="F49" s="4" t="s">
        <v>90</v>
      </c>
      <c r="G49" s="4">
        <v>20</v>
      </c>
      <c r="H49" s="4">
        <v>10</v>
      </c>
      <c r="I49" s="4">
        <v>4</v>
      </c>
      <c r="J49" s="4">
        <v>24</v>
      </c>
      <c r="K49" s="4">
        <v>15</v>
      </c>
      <c r="L49" s="4">
        <v>360</v>
      </c>
    </row>
    <row r="50" spans="5:28" x14ac:dyDescent="0.3">
      <c r="E50" s="4" t="s">
        <v>91</v>
      </c>
      <c r="F50" s="4" t="s">
        <v>92</v>
      </c>
      <c r="G50" s="4">
        <v>30</v>
      </c>
      <c r="H50" s="4">
        <v>12</v>
      </c>
      <c r="I50" s="4">
        <v>5</v>
      </c>
      <c r="J50" s="4">
        <v>37</v>
      </c>
      <c r="K50" s="4">
        <v>20</v>
      </c>
      <c r="L50" s="4">
        <v>740</v>
      </c>
    </row>
    <row r="51" spans="5:28" x14ac:dyDescent="0.3">
      <c r="E51" s="4" t="s">
        <v>93</v>
      </c>
      <c r="F51" s="4" t="s">
        <v>94</v>
      </c>
      <c r="G51" s="4">
        <v>40</v>
      </c>
      <c r="H51" s="4">
        <v>18</v>
      </c>
      <c r="I51" s="4">
        <v>7</v>
      </c>
      <c r="J51" s="4">
        <v>51</v>
      </c>
      <c r="K51" s="4">
        <v>30</v>
      </c>
      <c r="L51" s="4">
        <v>1530</v>
      </c>
    </row>
    <row r="52" spans="5:28" x14ac:dyDescent="0.3">
      <c r="E52" s="4" t="s">
        <v>95</v>
      </c>
      <c r="F52" s="4" t="s">
        <v>96</v>
      </c>
      <c r="G52" s="4">
        <v>50</v>
      </c>
      <c r="H52" s="4">
        <v>20</v>
      </c>
      <c r="I52" s="4">
        <v>9</v>
      </c>
      <c r="J52" s="4">
        <v>61</v>
      </c>
      <c r="K52" s="4">
        <v>8</v>
      </c>
      <c r="L52" s="4">
        <v>488</v>
      </c>
    </row>
    <row r="53" spans="5:28" x14ac:dyDescent="0.3">
      <c r="E53" s="4" t="s">
        <v>97</v>
      </c>
      <c r="F53" s="4" t="s">
        <v>98</v>
      </c>
      <c r="G53" s="4">
        <v>25</v>
      </c>
      <c r="H53" s="4">
        <v>10</v>
      </c>
      <c r="I53" s="4">
        <v>3</v>
      </c>
      <c r="J53" s="4">
        <v>28</v>
      </c>
      <c r="K53" s="4">
        <v>150</v>
      </c>
      <c r="L53" s="4">
        <v>4200</v>
      </c>
    </row>
    <row r="59" spans="5:28" ht="25.8" x14ac:dyDescent="0.5">
      <c r="E59" s="7" t="s">
        <v>108</v>
      </c>
      <c r="F59" s="8"/>
      <c r="G59" s="8"/>
      <c r="H59" s="8"/>
      <c r="I59" s="8"/>
      <c r="T59" s="7" t="s">
        <v>109</v>
      </c>
      <c r="U59" s="8"/>
      <c r="V59" s="8"/>
      <c r="W59" s="8"/>
      <c r="X59" s="8"/>
    </row>
    <row r="62" spans="5:28" ht="62.4" x14ac:dyDescent="0.3">
      <c r="E62" s="2" t="s">
        <v>15</v>
      </c>
      <c r="F62" s="3" t="s">
        <v>0</v>
      </c>
      <c r="G62" s="3" t="s">
        <v>1</v>
      </c>
      <c r="H62" s="3" t="s">
        <v>2</v>
      </c>
      <c r="I62" s="3" t="s">
        <v>3</v>
      </c>
      <c r="J62" s="3" t="s">
        <v>4</v>
      </c>
      <c r="K62" s="3" t="s">
        <v>5</v>
      </c>
      <c r="L62" s="3" t="s">
        <v>6</v>
      </c>
      <c r="T62" s="2" t="s">
        <v>15</v>
      </c>
      <c r="U62" s="3" t="s">
        <v>0</v>
      </c>
      <c r="V62" s="3" t="s">
        <v>1</v>
      </c>
      <c r="W62" s="3" t="s">
        <v>2</v>
      </c>
      <c r="X62" s="3" t="s">
        <v>3</v>
      </c>
      <c r="Y62" s="3" t="s">
        <v>4</v>
      </c>
      <c r="Z62" s="3" t="s">
        <v>5</v>
      </c>
      <c r="AA62" s="3" t="s">
        <v>6</v>
      </c>
    </row>
    <row r="63" spans="5:28" x14ac:dyDescent="0.3">
      <c r="E63" t="s">
        <v>7</v>
      </c>
      <c r="F63" s="1" t="str">
        <f>INDEX(E7:L53,MATCH($E$63,$E$7:$E$53,0),MATCH(F62,$E$7:$L$7,0))</f>
        <v>Laptop</v>
      </c>
      <c r="G63" s="1">
        <f t="shared" ref="G63:L63" si="2">INDEX(F7:M53,MATCH($E$63,$E$7:$E$53,0),MATCH(G62,$E$7:$L$7,0))</f>
        <v>20</v>
      </c>
      <c r="H63" s="1">
        <f t="shared" si="2"/>
        <v>60</v>
      </c>
      <c r="I63" s="1">
        <f t="shared" si="2"/>
        <v>72000</v>
      </c>
      <c r="J63" s="1">
        <f>INDEX(I7:P53,MATCH($E$63,$E$7:$E$53,0),MATCH(J62,$E$7:$L$7,0))</f>
        <v>0</v>
      </c>
      <c r="K63" s="1">
        <f t="shared" si="2"/>
        <v>0</v>
      </c>
      <c r="L63" s="1">
        <f t="shared" si="2"/>
        <v>0</v>
      </c>
      <c r="T63" t="s">
        <v>102</v>
      </c>
      <c r="U63" t="str">
        <f>IFERROR(DGET($E$7:$L$53,MATCH(U62,$E$7:$L$7,0),$T$62:$T$63),"Invalid Data")</f>
        <v>Headphones</v>
      </c>
      <c r="V63" s="1">
        <f t="shared" ref="V63:AB63" si="3">DGET($E$7:$L$53,MATCH(V62,$E$7:$L$7,0),$T$62:$T$63)</f>
        <v>30</v>
      </c>
      <c r="W63" s="1">
        <f t="shared" si="3"/>
        <v>10</v>
      </c>
      <c r="X63" s="1">
        <f t="shared" si="3"/>
        <v>3</v>
      </c>
      <c r="Y63" s="1">
        <f t="shared" si="3"/>
        <v>37</v>
      </c>
      <c r="Z63" s="1">
        <f t="shared" si="3"/>
        <v>100</v>
      </c>
      <c r="AA63" s="1">
        <f t="shared" si="3"/>
        <v>3700</v>
      </c>
      <c r="AB63" s="1" t="e">
        <f t="shared" si="3"/>
        <v>#N/A</v>
      </c>
    </row>
  </sheetData>
  <mergeCells count="9">
    <mergeCell ref="R40:V40"/>
    <mergeCell ref="E59:I59"/>
    <mergeCell ref="T59:X59"/>
    <mergeCell ref="P28:T28"/>
    <mergeCell ref="F4:J4"/>
    <mergeCell ref="P15:T15"/>
    <mergeCell ref="O16:V17"/>
    <mergeCell ref="P25:U26"/>
    <mergeCell ref="Q27:T27"/>
  </mergeCells>
  <phoneticPr fontId="6" type="noConversion"/>
  <dataValidations count="2">
    <dataValidation type="list" allowBlank="1" showInputMessage="1" showErrorMessage="1" sqref="Q43" xr:uid="{78D89414-05AB-429E-90C7-6AFC0A64DA4A}">
      <formula1>$F$7:$L$7</formula1>
    </dataValidation>
    <dataValidation type="list" allowBlank="1" showInputMessage="1" showErrorMessage="1" sqref="R42 E63" xr:uid="{D5BCC34D-75BA-4852-828F-195F6D3C07D7}">
      <formula1>$E$8:$E$53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2026-01-07T13:30:45Z</dcterms:created>
  <dcterms:modified xsi:type="dcterms:W3CDTF">2026-01-07T18:58:52Z</dcterms:modified>
</cp:coreProperties>
</file>