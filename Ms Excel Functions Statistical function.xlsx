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"/>
    </mc:Choice>
  </mc:AlternateContent>
  <xr:revisionPtr revIDLastSave="0" documentId="13_ncr:1_{B588CEDE-C10D-499A-9FF1-4C715B7981BB}" xr6:coauthVersionLast="47" xr6:coauthVersionMax="47" xr10:uidLastSave="{00000000-0000-0000-0000-000000000000}"/>
  <bookViews>
    <workbookView xWindow="-108" yWindow="-108" windowWidth="23256" windowHeight="12456" xr2:uid="{BD5501E8-C187-4E3E-8ABC-E2F8160B3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4" i="1" l="1" a="1"/>
  <c r="K64" i="1" s="1"/>
  <c r="G64" i="1"/>
  <c r="C64" i="1"/>
  <c r="U30" i="1"/>
  <c r="L43" i="1"/>
  <c r="H43" i="1"/>
  <c r="D43" i="1"/>
  <c r="Z7" i="1"/>
  <c r="Q6" i="1"/>
  <c r="I20" i="1"/>
  <c r="G20" i="1"/>
  <c r="C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<sst xmlns="http://schemas.openxmlformats.org/spreadsheetml/2006/main" count="89" uniqueCount="30">
  <si>
    <t>Average</t>
  </si>
  <si>
    <t>Avg</t>
  </si>
  <si>
    <t>AverageA does not count string and blank.</t>
  </si>
  <si>
    <t>Averagecount string but blank does not count</t>
  </si>
  <si>
    <t>AverageA</t>
  </si>
  <si>
    <t>B</t>
  </si>
  <si>
    <t>T</t>
  </si>
  <si>
    <t>AvgA</t>
  </si>
  <si>
    <t>Items</t>
  </si>
  <si>
    <t>Price</t>
  </si>
  <si>
    <t>A</t>
  </si>
  <si>
    <t>C</t>
  </si>
  <si>
    <t>AverageIF</t>
  </si>
  <si>
    <t>ktm</t>
  </si>
  <si>
    <t>pkr</t>
  </si>
  <si>
    <t>City</t>
  </si>
  <si>
    <t>Count</t>
  </si>
  <si>
    <t>count</t>
  </si>
  <si>
    <t>Count only count numbers</t>
  </si>
  <si>
    <t>CountBlank</t>
  </si>
  <si>
    <t>CountA</t>
  </si>
  <si>
    <t>CountA count numbers and string not blank.</t>
  </si>
  <si>
    <t>CountIf</t>
  </si>
  <si>
    <t>items</t>
  </si>
  <si>
    <t>MAX</t>
  </si>
  <si>
    <t>max</t>
  </si>
  <si>
    <t>MIN</t>
  </si>
  <si>
    <t>min</t>
  </si>
  <si>
    <t>MODE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</si>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</sst>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5A9E-FE35-4B48-9535-230334597678}">
  <dimension ref="A3:Z64"/>
  <sheetViews>
    <sheetView tabSelected="1" topLeftCell="A42" workbookViewId="0">
      <selection activeCell="M62" sqref="M62"/>
    </sheetView>
  </sheetViews>
  <sheetFormatPr defaultRowHeight="14.4" x14ac:dyDescent="0.3"/>
  <cols>
    <col min="6" max="6" width="13.77734375" customWidth="1"/>
    <col min="7" max="7" width="15.6640625" customWidth="1"/>
  </cols>
  <sheetData>
    <row r="3" spans="3:26" x14ac:dyDescent="0.3">
      <c r="C3" t="s">
        <v>3</v>
      </c>
      <c r="G3" t="s">
        <v>2</v>
      </c>
    </row>
    <row r="4" spans="3:26" ht="15.6" x14ac:dyDescent="0.3">
      <c r="C4" s="1" t="s">
        <v>0</v>
      </c>
      <c r="D4" s="1"/>
      <c r="G4" s="1" t="s">
        <v>4</v>
      </c>
      <c r="H4" s="1"/>
      <c r="M4" s="1" t="s">
        <v>12</v>
      </c>
      <c r="N4" s="1"/>
      <c r="T4" s="1" t="s">
        <v>12</v>
      </c>
      <c r="U4" s="1"/>
    </row>
    <row r="5" spans="3:26" x14ac:dyDescent="0.3">
      <c r="M5" t="s">
        <v>8</v>
      </c>
      <c r="N5" t="s">
        <v>9</v>
      </c>
      <c r="P5" t="s">
        <v>8</v>
      </c>
      <c r="Q5" t="s">
        <v>9</v>
      </c>
      <c r="T5" t="s">
        <v>8</v>
      </c>
      <c r="U5" t="s">
        <v>9</v>
      </c>
      <c r="V5" t="s">
        <v>15</v>
      </c>
    </row>
    <row r="6" spans="3:26" x14ac:dyDescent="0.3">
      <c r="C6">
        <v>9000</v>
      </c>
      <c r="G6">
        <v>9000</v>
      </c>
      <c r="M6" t="s">
        <v>10</v>
      </c>
      <c r="N6">
        <v>25</v>
      </c>
      <c r="P6" t="s">
        <v>5</v>
      </c>
      <c r="Q6">
        <f>AVERAGEIF(M6:M15,P6,N6:N15)</f>
        <v>75</v>
      </c>
      <c r="T6" t="s">
        <v>10</v>
      </c>
      <c r="U6">
        <v>25</v>
      </c>
      <c r="V6" t="s">
        <v>13</v>
      </c>
      <c r="X6" t="s">
        <v>15</v>
      </c>
      <c r="Y6" t="s">
        <v>8</v>
      </c>
      <c r="Z6" t="s">
        <v>9</v>
      </c>
    </row>
    <row r="7" spans="3:26" x14ac:dyDescent="0.3">
      <c r="C7">
        <v>1000</v>
      </c>
      <c r="G7">
        <v>1000</v>
      </c>
      <c r="M7" t="s">
        <v>5</v>
      </c>
      <c r="N7">
        <v>35</v>
      </c>
      <c r="T7" t="s">
        <v>5</v>
      </c>
      <c r="U7">
        <v>35</v>
      </c>
      <c r="V7" t="s">
        <v>13</v>
      </c>
      <c r="X7" t="s">
        <v>13</v>
      </c>
      <c r="Y7" t="s">
        <v>10</v>
      </c>
      <c r="Z7">
        <f>AVERAGEIFS(U6:U15,T6:T15,Y7,V6:V15,X7)</f>
        <v>45</v>
      </c>
    </row>
    <row r="8" spans="3:26" x14ac:dyDescent="0.3">
      <c r="C8">
        <v>13000</v>
      </c>
      <c r="G8">
        <v>13000</v>
      </c>
      <c r="M8" t="s">
        <v>10</v>
      </c>
      <c r="N8">
        <v>45</v>
      </c>
      <c r="T8" t="s">
        <v>10</v>
      </c>
      <c r="U8">
        <v>45</v>
      </c>
      <c r="V8" t="s">
        <v>13</v>
      </c>
    </row>
    <row r="9" spans="3:26" x14ac:dyDescent="0.3">
      <c r="C9">
        <v>550</v>
      </c>
      <c r="G9">
        <v>550</v>
      </c>
      <c r="M9" t="s">
        <v>11</v>
      </c>
      <c r="N9">
        <v>55</v>
      </c>
      <c r="T9" t="s">
        <v>11</v>
      </c>
      <c r="U9">
        <v>55</v>
      </c>
      <c r="V9" t="s">
        <v>14</v>
      </c>
    </row>
    <row r="10" spans="3:26" x14ac:dyDescent="0.3">
      <c r="C10">
        <v>300</v>
      </c>
      <c r="G10" t="s">
        <v>5</v>
      </c>
      <c r="M10" t="s">
        <v>10</v>
      </c>
      <c r="N10">
        <v>65</v>
      </c>
      <c r="T10" t="s">
        <v>10</v>
      </c>
      <c r="U10">
        <v>65</v>
      </c>
      <c r="V10" t="s">
        <v>13</v>
      </c>
    </row>
    <row r="11" spans="3:26" x14ac:dyDescent="0.3">
      <c r="C11">
        <v>250</v>
      </c>
      <c r="G11">
        <v>250</v>
      </c>
      <c r="M11" t="s">
        <v>11</v>
      </c>
      <c r="N11">
        <v>75</v>
      </c>
      <c r="T11" t="s">
        <v>11</v>
      </c>
      <c r="U11">
        <v>75</v>
      </c>
      <c r="V11" t="s">
        <v>14</v>
      </c>
    </row>
    <row r="12" spans="3:26" x14ac:dyDescent="0.3">
      <c r="C12">
        <v>375</v>
      </c>
      <c r="G12">
        <v>375</v>
      </c>
      <c r="M12" t="s">
        <v>10</v>
      </c>
      <c r="N12">
        <v>85</v>
      </c>
      <c r="T12" t="s">
        <v>10</v>
      </c>
      <c r="U12">
        <v>85</v>
      </c>
      <c r="V12" t="s">
        <v>14</v>
      </c>
    </row>
    <row r="13" spans="3:26" x14ac:dyDescent="0.3">
      <c r="C13">
        <v>600</v>
      </c>
      <c r="G13">
        <v>600</v>
      </c>
      <c r="M13" t="s">
        <v>10</v>
      </c>
      <c r="N13">
        <v>95</v>
      </c>
      <c r="T13" t="s">
        <v>10</v>
      </c>
      <c r="U13">
        <v>95</v>
      </c>
      <c r="V13" t="s">
        <v>14</v>
      </c>
    </row>
    <row r="14" spans="3:26" x14ac:dyDescent="0.3">
      <c r="C14">
        <v>775</v>
      </c>
      <c r="G14" t="s">
        <v>6</v>
      </c>
      <c r="M14" t="s">
        <v>11</v>
      </c>
      <c r="N14">
        <v>105</v>
      </c>
      <c r="T14" t="s">
        <v>11</v>
      </c>
      <c r="U14">
        <v>105</v>
      </c>
      <c r="V14" t="s">
        <v>13</v>
      </c>
    </row>
    <row r="15" spans="3:26" x14ac:dyDescent="0.3">
      <c r="C15">
        <v>540</v>
      </c>
      <c r="G15">
        <v>540</v>
      </c>
      <c r="M15" t="s">
        <v>5</v>
      </c>
      <c r="N15">
        <v>115</v>
      </c>
      <c r="T15" t="s">
        <v>5</v>
      </c>
      <c r="U15">
        <v>115</v>
      </c>
      <c r="V15" t="s">
        <v>13</v>
      </c>
    </row>
    <row r="16" spans="3:26" x14ac:dyDescent="0.3">
      <c r="C16">
        <v>555</v>
      </c>
      <c r="G16">
        <v>555</v>
      </c>
    </row>
    <row r="17" spans="2:21" x14ac:dyDescent="0.3">
      <c r="C17">
        <v>546</v>
      </c>
    </row>
    <row r="18" spans="2:21" x14ac:dyDescent="0.3">
      <c r="C18">
        <v>675</v>
      </c>
      <c r="G18">
        <v>675</v>
      </c>
    </row>
    <row r="20" spans="2:21" x14ac:dyDescent="0.3">
      <c r="B20" s="2" t="s">
        <v>1</v>
      </c>
      <c r="C20" s="3">
        <f>ROUND(AVERAGE(C6:C18),0)</f>
        <v>2167</v>
      </c>
      <c r="F20" s="2" t="s">
        <v>7</v>
      </c>
      <c r="G20">
        <f>AVERAGEA(G6:G18)</f>
        <v>2212.0833333333335</v>
      </c>
      <c r="H20" s="2" t="s">
        <v>1</v>
      </c>
      <c r="I20">
        <f>AVERAGE(G6:G18)</f>
        <v>2654.5</v>
      </c>
    </row>
    <row r="25" spans="2:21" x14ac:dyDescent="0.3">
      <c r="C25" t="s">
        <v>18</v>
      </c>
      <c r="K25" t="s">
        <v>21</v>
      </c>
    </row>
    <row r="26" spans="2:21" ht="15.6" x14ac:dyDescent="0.3">
      <c r="C26" s="1" t="s">
        <v>16</v>
      </c>
      <c r="D26" s="1"/>
      <c r="G26" s="1" t="s">
        <v>19</v>
      </c>
      <c r="H26" s="1"/>
      <c r="K26" s="1" t="s">
        <v>20</v>
      </c>
      <c r="L26" s="1"/>
      <c r="Q26" s="1" t="s">
        <v>22</v>
      </c>
      <c r="R26" s="1"/>
    </row>
    <row r="28" spans="2:21" x14ac:dyDescent="0.3">
      <c r="C28">
        <v>9000</v>
      </c>
      <c r="G28">
        <v>9000</v>
      </c>
      <c r="K28">
        <v>9000</v>
      </c>
      <c r="Q28" t="s">
        <v>8</v>
      </c>
      <c r="R28" t="s">
        <v>9</v>
      </c>
    </row>
    <row r="29" spans="2:21" x14ac:dyDescent="0.3">
      <c r="C29">
        <v>1000</v>
      </c>
      <c r="G29">
        <v>1000</v>
      </c>
      <c r="K29">
        <v>1000</v>
      </c>
      <c r="Q29" t="s">
        <v>10</v>
      </c>
      <c r="R29">
        <v>25</v>
      </c>
      <c r="T29" t="s">
        <v>23</v>
      </c>
    </row>
    <row r="30" spans="2:21" x14ac:dyDescent="0.3">
      <c r="C30">
        <v>13000</v>
      </c>
      <c r="G30">
        <v>13000</v>
      </c>
      <c r="K30">
        <v>13000</v>
      </c>
      <c r="Q30" t="s">
        <v>5</v>
      </c>
      <c r="R30">
        <v>35</v>
      </c>
      <c r="T30" t="s">
        <v>10</v>
      </c>
      <c r="U30">
        <f>COUNTIF(Q29:Q38,T30)</f>
        <v>5</v>
      </c>
    </row>
    <row r="31" spans="2:21" x14ac:dyDescent="0.3">
      <c r="C31">
        <v>550</v>
      </c>
      <c r="G31">
        <v>550</v>
      </c>
      <c r="K31">
        <v>550</v>
      </c>
      <c r="Q31" t="s">
        <v>10</v>
      </c>
      <c r="R31">
        <v>45</v>
      </c>
    </row>
    <row r="32" spans="2:21" x14ac:dyDescent="0.3">
      <c r="C32" t="s">
        <v>5</v>
      </c>
      <c r="G32" t="s">
        <v>5</v>
      </c>
      <c r="K32" t="s">
        <v>5</v>
      </c>
      <c r="Q32" t="s">
        <v>11</v>
      </c>
      <c r="R32">
        <v>55</v>
      </c>
    </row>
    <row r="33" spans="3:18" x14ac:dyDescent="0.3">
      <c r="C33">
        <v>250</v>
      </c>
      <c r="G33">
        <v>250</v>
      </c>
      <c r="K33">
        <v>250</v>
      </c>
      <c r="Q33" t="s">
        <v>10</v>
      </c>
      <c r="R33">
        <v>65</v>
      </c>
    </row>
    <row r="34" spans="3:18" x14ac:dyDescent="0.3">
      <c r="C34">
        <v>375</v>
      </c>
      <c r="G34">
        <v>375</v>
      </c>
      <c r="K34">
        <v>375</v>
      </c>
      <c r="Q34" t="s">
        <v>11</v>
      </c>
      <c r="R34">
        <v>75</v>
      </c>
    </row>
    <row r="35" spans="3:18" x14ac:dyDescent="0.3">
      <c r="C35">
        <v>600</v>
      </c>
      <c r="G35">
        <v>600</v>
      </c>
      <c r="K35">
        <v>600</v>
      </c>
      <c r="Q35" t="s">
        <v>10</v>
      </c>
      <c r="R35">
        <v>85</v>
      </c>
    </row>
    <row r="36" spans="3:18" x14ac:dyDescent="0.3">
      <c r="C36" t="s">
        <v>6</v>
      </c>
      <c r="G36" t="s">
        <v>6</v>
      </c>
      <c r="K36" t="s">
        <v>6</v>
      </c>
      <c r="Q36" t="s">
        <v>10</v>
      </c>
      <c r="R36">
        <v>95</v>
      </c>
    </row>
    <row r="37" spans="3:18" x14ac:dyDescent="0.3">
      <c r="C37">
        <v>540</v>
      </c>
      <c r="G37">
        <v>540</v>
      </c>
      <c r="K37">
        <v>540</v>
      </c>
      <c r="Q37" t="s">
        <v>11</v>
      </c>
      <c r="R37">
        <v>105</v>
      </c>
    </row>
    <row r="38" spans="3:18" x14ac:dyDescent="0.3">
      <c r="C38">
        <v>555</v>
      </c>
      <c r="G38">
        <v>555</v>
      </c>
      <c r="K38">
        <v>555</v>
      </c>
      <c r="Q38" t="s">
        <v>5</v>
      </c>
      <c r="R38">
        <v>115</v>
      </c>
    </row>
    <row r="40" spans="3:18" x14ac:dyDescent="0.3">
      <c r="C40">
        <v>675</v>
      </c>
      <c r="G40">
        <v>675</v>
      </c>
      <c r="K40">
        <v>675</v>
      </c>
    </row>
    <row r="43" spans="3:18" x14ac:dyDescent="0.3">
      <c r="C43" s="2" t="s">
        <v>17</v>
      </c>
      <c r="D43" s="3">
        <f>COUNT(C28:C40)</f>
        <v>10</v>
      </c>
      <c r="G43" s="2" t="s">
        <v>17</v>
      </c>
      <c r="H43" s="3">
        <f>COUNTBLANK(G28:G40)</f>
        <v>1</v>
      </c>
      <c r="K43" s="2" t="s">
        <v>17</v>
      </c>
      <c r="L43" s="3">
        <f>COUNTA(K28:K40)</f>
        <v>12</v>
      </c>
    </row>
    <row r="48" spans="3:18" ht="15.6" x14ac:dyDescent="0.3">
      <c r="C48" s="1" t="s">
        <v>24</v>
      </c>
      <c r="D48" s="1"/>
      <c r="G48" s="1" t="s">
        <v>26</v>
      </c>
      <c r="H48" s="1"/>
      <c r="K48" s="1" t="s">
        <v>28</v>
      </c>
      <c r="L48" s="1"/>
    </row>
    <row r="50" spans="1:11" x14ac:dyDescent="0.3">
      <c r="C50">
        <v>9000</v>
      </c>
      <c r="G50">
        <v>9000</v>
      </c>
      <c r="K50">
        <v>9000</v>
      </c>
    </row>
    <row r="51" spans="1:11" x14ac:dyDescent="0.3">
      <c r="C51">
        <v>1000</v>
      </c>
      <c r="G51">
        <v>1000</v>
      </c>
      <c r="K51">
        <v>1000</v>
      </c>
    </row>
    <row r="52" spans="1:11" x14ac:dyDescent="0.3">
      <c r="C52">
        <v>13000</v>
      </c>
      <c r="G52">
        <v>13000</v>
      </c>
      <c r="K52">
        <v>13000</v>
      </c>
    </row>
    <row r="53" spans="1:11" x14ac:dyDescent="0.3">
      <c r="C53">
        <v>550</v>
      </c>
      <c r="G53">
        <v>550</v>
      </c>
      <c r="K53">
        <v>550</v>
      </c>
    </row>
    <row r="54" spans="1:11" x14ac:dyDescent="0.3">
      <c r="C54">
        <v>300</v>
      </c>
      <c r="G54">
        <v>300</v>
      </c>
      <c r="K54">
        <v>300</v>
      </c>
    </row>
    <row r="55" spans="1:11" x14ac:dyDescent="0.3">
      <c r="C55">
        <v>250</v>
      </c>
      <c r="G55">
        <v>250</v>
      </c>
      <c r="K55">
        <v>250</v>
      </c>
    </row>
    <row r="56" spans="1:11" x14ac:dyDescent="0.3">
      <c r="C56">
        <v>375</v>
      </c>
      <c r="G56">
        <v>375</v>
      </c>
      <c r="K56">
        <v>375</v>
      </c>
    </row>
    <row r="57" spans="1:11" x14ac:dyDescent="0.3">
      <c r="C57">
        <v>600</v>
      </c>
      <c r="G57">
        <v>600</v>
      </c>
      <c r="K57">
        <v>600</v>
      </c>
    </row>
    <row r="58" spans="1:11" x14ac:dyDescent="0.3">
      <c r="C58">
        <v>775</v>
      </c>
      <c r="G58">
        <v>775</v>
      </c>
      <c r="K58">
        <v>775</v>
      </c>
    </row>
    <row r="59" spans="1:11" x14ac:dyDescent="0.3">
      <c r="C59">
        <v>540</v>
      </c>
      <c r="G59">
        <v>540</v>
      </c>
      <c r="K59">
        <v>600</v>
      </c>
    </row>
    <row r="60" spans="1:11" x14ac:dyDescent="0.3">
      <c r="C60">
        <v>555</v>
      </c>
      <c r="G60">
        <v>555</v>
      </c>
      <c r="K60">
        <v>555</v>
      </c>
    </row>
    <row r="61" spans="1:11" x14ac:dyDescent="0.3">
      <c r="C61">
        <v>546</v>
      </c>
      <c r="G61">
        <v>546</v>
      </c>
      <c r="K61">
        <v>546</v>
      </c>
    </row>
    <row r="62" spans="1:11" x14ac:dyDescent="0.3">
      <c r="C62">
        <v>675</v>
      </c>
      <c r="G62">
        <v>675</v>
      </c>
      <c r="K62">
        <v>675</v>
      </c>
    </row>
    <row r="64" spans="1:11" x14ac:dyDescent="0.3">
      <c r="A64" s="2"/>
      <c r="B64" s="3" t="s">
        <v>25</v>
      </c>
      <c r="C64" s="2">
        <f>MAX(C50:C62)</f>
        <v>13000</v>
      </c>
      <c r="F64" s="3" t="s">
        <v>27</v>
      </c>
      <c r="G64" s="2">
        <f>MIN(G50:G62)</f>
        <v>250</v>
      </c>
      <c r="J64" s="3" t="s">
        <v>29</v>
      </c>
      <c r="K64" s="2" cm="1">
        <f t="array" ref="K64">_xlfn.MODE.MULT(K50:K62)</f>
        <v>600</v>
      </c>
    </row>
  </sheetData>
  <mergeCells count="11">
    <mergeCell ref="C48:D48"/>
    <mergeCell ref="G48:H48"/>
    <mergeCell ref="K48:L48"/>
    <mergeCell ref="C4:D4"/>
    <mergeCell ref="G4:H4"/>
    <mergeCell ref="M4:N4"/>
    <mergeCell ref="T4:U4"/>
    <mergeCell ref="C26:D26"/>
    <mergeCell ref="G26:H26"/>
    <mergeCell ref="K26:L26"/>
    <mergeCell ref="Q26:R2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2026-01-05T13:08:30Z</dcterms:created>
  <dcterms:modified xsi:type="dcterms:W3CDTF">2026-01-05T13:58:06Z</dcterms:modified>
</cp:coreProperties>
</file>