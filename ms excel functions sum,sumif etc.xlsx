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ny\Desktop\data analyst\excel\"/>
    </mc:Choice>
  </mc:AlternateContent>
  <xr:revisionPtr revIDLastSave="0" documentId="13_ncr:1_{4CF17F20-E50E-4031-9393-6B9CF47FC4F2}" xr6:coauthVersionLast="47" xr6:coauthVersionMax="47" xr10:uidLastSave="{00000000-0000-0000-0000-000000000000}"/>
  <bookViews>
    <workbookView xWindow="-108" yWindow="-108" windowWidth="23256" windowHeight="12456" xr2:uid="{AB5DAD75-1463-4BC5-A411-301265FD4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5" i="1" l="1"/>
  <c r="E36" i="1"/>
  <c r="E37" i="1"/>
  <c r="E38" i="1"/>
  <c r="E39" i="1"/>
  <c r="E40" i="1"/>
  <c r="E41" i="1"/>
  <c r="E42" i="1"/>
  <c r="E43" i="1"/>
  <c r="E44" i="1"/>
  <c r="E34" i="1"/>
  <c r="V31" i="1"/>
  <c r="U29" i="1"/>
  <c r="U28" i="1"/>
  <c r="U27" i="1"/>
  <c r="U26" i="1"/>
  <c r="U25" i="1"/>
  <c r="U24" i="1"/>
  <c r="U23" i="1"/>
  <c r="U22" i="1"/>
  <c r="U21" i="1"/>
  <c r="U20" i="1"/>
  <c r="P21" i="1"/>
  <c r="P22" i="1"/>
  <c r="P20" i="1"/>
  <c r="G22" i="1"/>
  <c r="G21" i="1"/>
  <c r="G20" i="1"/>
  <c r="AC12" i="1"/>
  <c r="AB19" i="1"/>
  <c r="AA19" i="1"/>
  <c r="Z19" i="1"/>
  <c r="AA16" i="1"/>
  <c r="AA14" i="1"/>
  <c r="AA13" i="1"/>
  <c r="AA12" i="1"/>
  <c r="AA11" i="1"/>
  <c r="AA10" i="1"/>
  <c r="AA9" i="1"/>
  <c r="AA8" i="1"/>
  <c r="AA7" i="1"/>
  <c r="AA6" i="1"/>
  <c r="AA5" i="1"/>
  <c r="AA4" i="1"/>
  <c r="W14" i="1"/>
  <c r="W5" i="1"/>
  <c r="W6" i="1"/>
  <c r="W7" i="1"/>
  <c r="W8" i="1"/>
  <c r="W9" i="1"/>
  <c r="W10" i="1"/>
  <c r="W11" i="1"/>
  <c r="W12" i="1"/>
  <c r="W13" i="1"/>
  <c r="W4" i="1"/>
  <c r="T5" i="1"/>
  <c r="T6" i="1"/>
  <c r="T7" i="1"/>
  <c r="T8" i="1"/>
  <c r="T9" i="1"/>
  <c r="T10" i="1"/>
  <c r="T11" i="1"/>
  <c r="T12" i="1"/>
  <c r="T13" i="1"/>
  <c r="T4" i="1"/>
  <c r="P5" i="1"/>
  <c r="P6" i="1"/>
  <c r="P7" i="1"/>
  <c r="P8" i="1"/>
  <c r="P9" i="1"/>
  <c r="P10" i="1"/>
  <c r="P11" i="1"/>
  <c r="P12" i="1"/>
  <c r="P13" i="1"/>
  <c r="P4" i="1"/>
  <c r="K13" i="1"/>
  <c r="K5" i="1"/>
  <c r="K6" i="1"/>
  <c r="K7" i="1"/>
  <c r="K8" i="1"/>
  <c r="K9" i="1"/>
  <c r="K10" i="1"/>
  <c r="K11" i="1"/>
  <c r="K12" i="1"/>
  <c r="K4" i="1"/>
  <c r="G5" i="1"/>
  <c r="G6" i="1"/>
  <c r="G7" i="1"/>
  <c r="G8" i="1"/>
  <c r="G9" i="1"/>
  <c r="G10" i="1"/>
  <c r="G11" i="1"/>
  <c r="G12" i="1"/>
  <c r="G13" i="1"/>
  <c r="G4" i="1"/>
  <c r="C5" i="1"/>
  <c r="C6" i="1"/>
  <c r="C7" i="1"/>
  <c r="C8" i="1"/>
  <c r="C9" i="1"/>
  <c r="C10" i="1"/>
  <c r="C11" i="1"/>
  <c r="C12" i="1"/>
  <c r="C13" i="1"/>
  <c r="C4" i="1"/>
</calcChain>
</file>

<file path=xl/sharedStrings.xml><?xml version="1.0" encoding="utf-8"?>
<sst xmlns="http://schemas.openxmlformats.org/spreadsheetml/2006/main" count="81" uniqueCount="30">
  <si>
    <t>EVEN</t>
  </si>
  <si>
    <t>Number</t>
  </si>
  <si>
    <t>Result</t>
  </si>
  <si>
    <t>FACT</t>
  </si>
  <si>
    <t>ODD</t>
  </si>
  <si>
    <t>Power</t>
  </si>
  <si>
    <t>POWER</t>
  </si>
  <si>
    <t>ROMAN</t>
  </si>
  <si>
    <t>SQRT</t>
  </si>
  <si>
    <t>SUM</t>
  </si>
  <si>
    <t>Items</t>
  </si>
  <si>
    <t>Price</t>
  </si>
  <si>
    <t>A</t>
  </si>
  <si>
    <t>B</t>
  </si>
  <si>
    <t>C</t>
  </si>
  <si>
    <t>Total Price</t>
  </si>
  <si>
    <t>SUMIF</t>
  </si>
  <si>
    <t>SUMIFS</t>
  </si>
  <si>
    <t>CITY</t>
  </si>
  <si>
    <t>KTM</t>
  </si>
  <si>
    <t>PKR</t>
  </si>
  <si>
    <t>BHA</t>
  </si>
  <si>
    <t>CHIT</t>
  </si>
  <si>
    <t>City</t>
  </si>
  <si>
    <t>SUMPRODUCT</t>
  </si>
  <si>
    <t>QTY</t>
  </si>
  <si>
    <t>PRICE</t>
  </si>
  <si>
    <t>TOTAL</t>
  </si>
  <si>
    <t>INT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</si>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</sst>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6014-5D19-4B53-A991-106B8C304DAB}">
  <dimension ref="B2:AC44"/>
  <sheetViews>
    <sheetView tabSelected="1" topLeftCell="A24" workbookViewId="0">
      <selection activeCell="E34" sqref="E34:E44"/>
    </sheetView>
  </sheetViews>
  <sheetFormatPr defaultRowHeight="14.4" x14ac:dyDescent="0.3"/>
  <cols>
    <col min="22" max="22" width="10" bestFit="1" customWidth="1"/>
  </cols>
  <sheetData>
    <row r="2" spans="2:29" x14ac:dyDescent="0.3">
      <c r="B2" s="2" t="s">
        <v>0</v>
      </c>
      <c r="C2" s="2"/>
      <c r="F2" s="2" t="s">
        <v>3</v>
      </c>
      <c r="G2" s="2"/>
      <c r="J2" s="2" t="s">
        <v>4</v>
      </c>
      <c r="K2" s="2"/>
      <c r="N2" s="2" t="s">
        <v>6</v>
      </c>
      <c r="O2" s="2"/>
      <c r="P2" s="2"/>
      <c r="S2" s="2" t="s">
        <v>7</v>
      </c>
      <c r="T2" s="2"/>
      <c r="V2" s="2" t="s">
        <v>8</v>
      </c>
      <c r="W2" s="2"/>
      <c r="Z2" s="2" t="s">
        <v>9</v>
      </c>
      <c r="AA2" s="2"/>
    </row>
    <row r="3" spans="2:29" x14ac:dyDescent="0.3">
      <c r="B3" s="1" t="s">
        <v>1</v>
      </c>
      <c r="C3" s="1" t="s">
        <v>2</v>
      </c>
      <c r="F3" s="1" t="s">
        <v>1</v>
      </c>
      <c r="G3" s="1" t="s">
        <v>2</v>
      </c>
      <c r="J3" s="1" t="s">
        <v>1</v>
      </c>
      <c r="K3" s="1" t="s">
        <v>2</v>
      </c>
      <c r="N3" s="1" t="s">
        <v>1</v>
      </c>
      <c r="O3" s="1" t="s">
        <v>5</v>
      </c>
      <c r="P3" s="1" t="s">
        <v>2</v>
      </c>
      <c r="S3" s="1" t="s">
        <v>1</v>
      </c>
      <c r="T3" s="1" t="s">
        <v>2</v>
      </c>
      <c r="V3" s="1" t="s">
        <v>1</v>
      </c>
      <c r="W3" s="1" t="s">
        <v>2</v>
      </c>
      <c r="Z3" s="1" t="s">
        <v>1</v>
      </c>
      <c r="AA3" s="1" t="s">
        <v>2</v>
      </c>
    </row>
    <row r="4" spans="2:29" x14ac:dyDescent="0.3">
      <c r="B4">
        <v>7</v>
      </c>
      <c r="C4">
        <f>EVEN(B4)</f>
        <v>8</v>
      </c>
      <c r="F4">
        <v>7</v>
      </c>
      <c r="G4">
        <f>FACT(F4)</f>
        <v>5040</v>
      </c>
      <c r="J4">
        <v>7</v>
      </c>
      <c r="K4">
        <f>ODD(J4)</f>
        <v>7</v>
      </c>
      <c r="N4">
        <v>7</v>
      </c>
      <c r="O4">
        <v>2</v>
      </c>
      <c r="P4">
        <f>POWER(N4,O4)</f>
        <v>49</v>
      </c>
      <c r="S4">
        <v>7</v>
      </c>
      <c r="T4" t="str">
        <f>ROMAN(S4)</f>
        <v>VII</v>
      </c>
      <c r="V4">
        <v>7</v>
      </c>
      <c r="W4">
        <f>SQRT(V4)</f>
        <v>2.6457513110645907</v>
      </c>
      <c r="Z4">
        <v>7</v>
      </c>
      <c r="AA4">
        <f>SQRT(Z4)</f>
        <v>2.6457513110645907</v>
      </c>
    </row>
    <row r="5" spans="2:29" x14ac:dyDescent="0.3">
      <c r="B5">
        <v>13</v>
      </c>
      <c r="C5">
        <f t="shared" ref="C5:C13" si="0">EVEN(B5)</f>
        <v>14</v>
      </c>
      <c r="F5">
        <v>13</v>
      </c>
      <c r="G5">
        <f t="shared" ref="G5:G13" si="1">FACT(F5)</f>
        <v>6227020800</v>
      </c>
      <c r="J5">
        <v>13</v>
      </c>
      <c r="K5">
        <f t="shared" ref="K5:K13" si="2">ODD(J5)</f>
        <v>13</v>
      </c>
      <c r="N5">
        <v>13</v>
      </c>
      <c r="O5">
        <v>4</v>
      </c>
      <c r="P5">
        <f t="shared" ref="P5:P13" si="3">POWER(N5,O5)</f>
        <v>28561</v>
      </c>
      <c r="S5">
        <v>13</v>
      </c>
      <c r="T5" t="str">
        <f t="shared" ref="T5:T13" si="4">ROMAN(S5)</f>
        <v>XIII</v>
      </c>
      <c r="V5">
        <v>13</v>
      </c>
      <c r="W5">
        <f t="shared" ref="W5:W14" si="5">SQRT(V5)</f>
        <v>3.6055512754639891</v>
      </c>
      <c r="Z5">
        <v>13</v>
      </c>
      <c r="AA5">
        <f t="shared" ref="AA5:AA14" si="6">SQRT(Z5)</f>
        <v>3.6055512754639891</v>
      </c>
    </row>
    <row r="6" spans="2:29" x14ac:dyDescent="0.3">
      <c r="B6">
        <v>14</v>
      </c>
      <c r="C6">
        <f t="shared" si="0"/>
        <v>14</v>
      </c>
      <c r="F6">
        <v>14</v>
      </c>
      <c r="G6">
        <f t="shared" si="1"/>
        <v>87178291200</v>
      </c>
      <c r="J6">
        <v>14</v>
      </c>
      <c r="K6">
        <f t="shared" si="2"/>
        <v>15</v>
      </c>
      <c r="N6">
        <v>14</v>
      </c>
      <c r="P6">
        <f t="shared" si="3"/>
        <v>1</v>
      </c>
      <c r="S6">
        <v>14</v>
      </c>
      <c r="T6" t="str">
        <f t="shared" si="4"/>
        <v>XIV</v>
      </c>
      <c r="V6">
        <v>14</v>
      </c>
      <c r="W6">
        <f t="shared" si="5"/>
        <v>3.7416573867739413</v>
      </c>
      <c r="Z6">
        <v>14</v>
      </c>
      <c r="AA6">
        <f t="shared" si="6"/>
        <v>3.7416573867739413</v>
      </c>
    </row>
    <row r="7" spans="2:29" x14ac:dyDescent="0.3">
      <c r="B7">
        <v>19</v>
      </c>
      <c r="C7">
        <f t="shared" si="0"/>
        <v>20</v>
      </c>
      <c r="F7">
        <v>19</v>
      </c>
      <c r="G7">
        <f t="shared" si="1"/>
        <v>1.21645100408832E+17</v>
      </c>
      <c r="J7">
        <v>19</v>
      </c>
      <c r="K7">
        <f t="shared" si="2"/>
        <v>19</v>
      </c>
      <c r="N7">
        <v>19</v>
      </c>
      <c r="O7">
        <v>7</v>
      </c>
      <c r="P7">
        <f t="shared" si="3"/>
        <v>893871739</v>
      </c>
      <c r="S7">
        <v>19</v>
      </c>
      <c r="T7" t="str">
        <f t="shared" si="4"/>
        <v>XIX</v>
      </c>
      <c r="V7">
        <v>19</v>
      </c>
      <c r="W7">
        <f t="shared" si="5"/>
        <v>4.358898943540674</v>
      </c>
      <c r="Z7">
        <v>19</v>
      </c>
      <c r="AA7">
        <f t="shared" si="6"/>
        <v>4.358898943540674</v>
      </c>
    </row>
    <row r="8" spans="2:29" x14ac:dyDescent="0.3">
      <c r="B8">
        <v>23</v>
      </c>
      <c r="C8">
        <f t="shared" si="0"/>
        <v>24</v>
      </c>
      <c r="F8">
        <v>23</v>
      </c>
      <c r="G8">
        <f t="shared" si="1"/>
        <v>2.5852016738884978E+22</v>
      </c>
      <c r="J8">
        <v>23</v>
      </c>
      <c r="K8">
        <f t="shared" si="2"/>
        <v>23</v>
      </c>
      <c r="N8">
        <v>23</v>
      </c>
      <c r="O8">
        <v>7</v>
      </c>
      <c r="P8">
        <f t="shared" si="3"/>
        <v>3404825447</v>
      </c>
      <c r="S8">
        <v>23</v>
      </c>
      <c r="T8" t="str">
        <f t="shared" si="4"/>
        <v>XXIII</v>
      </c>
      <c r="V8">
        <v>23</v>
      </c>
      <c r="W8">
        <f t="shared" si="5"/>
        <v>4.7958315233127191</v>
      </c>
      <c r="Z8">
        <v>23</v>
      </c>
      <c r="AA8">
        <f t="shared" si="6"/>
        <v>4.7958315233127191</v>
      </c>
    </row>
    <row r="9" spans="2:29" x14ac:dyDescent="0.3">
      <c r="B9">
        <v>63</v>
      </c>
      <c r="C9">
        <f t="shared" si="0"/>
        <v>64</v>
      </c>
      <c r="F9">
        <v>63</v>
      </c>
      <c r="G9">
        <f t="shared" si="1"/>
        <v>1.9826083154044396E+87</v>
      </c>
      <c r="J9">
        <v>63</v>
      </c>
      <c r="K9">
        <f t="shared" si="2"/>
        <v>63</v>
      </c>
      <c r="N9">
        <v>63</v>
      </c>
      <c r="O9">
        <v>6</v>
      </c>
      <c r="P9">
        <f t="shared" si="3"/>
        <v>62523502209</v>
      </c>
      <c r="S9">
        <v>63</v>
      </c>
      <c r="T9" t="str">
        <f t="shared" si="4"/>
        <v>LXIII</v>
      </c>
      <c r="V9">
        <v>63</v>
      </c>
      <c r="W9">
        <f t="shared" si="5"/>
        <v>7.9372539331937721</v>
      </c>
      <c r="Z9">
        <v>63</v>
      </c>
      <c r="AA9">
        <f t="shared" si="6"/>
        <v>7.9372539331937721</v>
      </c>
    </row>
    <row r="10" spans="2:29" x14ac:dyDescent="0.3">
      <c r="B10">
        <v>1478</v>
      </c>
      <c r="C10">
        <f t="shared" si="0"/>
        <v>1478</v>
      </c>
      <c r="F10">
        <v>1478</v>
      </c>
      <c r="G10" t="e">
        <f t="shared" si="1"/>
        <v>#NUM!</v>
      </c>
      <c r="J10">
        <v>1478</v>
      </c>
      <c r="K10">
        <f t="shared" si="2"/>
        <v>1479</v>
      </c>
      <c r="N10">
        <v>1478</v>
      </c>
      <c r="O10">
        <v>3</v>
      </c>
      <c r="P10">
        <f t="shared" si="3"/>
        <v>3228667352</v>
      </c>
      <c r="S10">
        <v>1478</v>
      </c>
      <c r="T10" t="str">
        <f t="shared" si="4"/>
        <v>MCDLXXVIII</v>
      </c>
      <c r="V10">
        <v>1478</v>
      </c>
      <c r="W10">
        <f t="shared" si="5"/>
        <v>38.444765573482172</v>
      </c>
      <c r="Z10">
        <v>1478</v>
      </c>
      <c r="AA10">
        <f t="shared" si="6"/>
        <v>38.444765573482172</v>
      </c>
    </row>
    <row r="11" spans="2:29" x14ac:dyDescent="0.3">
      <c r="B11">
        <v>12000</v>
      </c>
      <c r="C11">
        <f t="shared" si="0"/>
        <v>12000</v>
      </c>
      <c r="F11">
        <v>12000</v>
      </c>
      <c r="G11" t="e">
        <f t="shared" si="1"/>
        <v>#NUM!</v>
      </c>
      <c r="J11">
        <v>12000</v>
      </c>
      <c r="K11">
        <f t="shared" si="2"/>
        <v>12001</v>
      </c>
      <c r="N11">
        <v>12000</v>
      </c>
      <c r="O11">
        <v>2</v>
      </c>
      <c r="P11">
        <f t="shared" si="3"/>
        <v>144000000</v>
      </c>
      <c r="S11">
        <v>12000</v>
      </c>
      <c r="T11" t="e">
        <f t="shared" si="4"/>
        <v>#VALUE!</v>
      </c>
      <c r="V11">
        <v>12000</v>
      </c>
      <c r="W11">
        <f t="shared" si="5"/>
        <v>109.54451150103323</v>
      </c>
      <c r="Z11">
        <v>12000</v>
      </c>
      <c r="AA11">
        <f t="shared" si="6"/>
        <v>109.54451150103323</v>
      </c>
    </row>
    <row r="12" spans="2:29" x14ac:dyDescent="0.3">
      <c r="B12">
        <v>365</v>
      </c>
      <c r="C12">
        <f t="shared" si="0"/>
        <v>366</v>
      </c>
      <c r="F12">
        <v>365</v>
      </c>
      <c r="G12" t="e">
        <f t="shared" si="1"/>
        <v>#NUM!</v>
      </c>
      <c r="J12">
        <v>365</v>
      </c>
      <c r="K12">
        <f t="shared" si="2"/>
        <v>365</v>
      </c>
      <c r="N12">
        <v>365</v>
      </c>
      <c r="O12">
        <v>3</v>
      </c>
      <c r="P12">
        <f t="shared" si="3"/>
        <v>48627125</v>
      </c>
      <c r="S12">
        <v>365</v>
      </c>
      <c r="T12" t="str">
        <f t="shared" si="4"/>
        <v>CCCLXV</v>
      </c>
      <c r="V12">
        <v>365</v>
      </c>
      <c r="W12">
        <f t="shared" si="5"/>
        <v>19.104973174542799</v>
      </c>
      <c r="Z12">
        <v>365</v>
      </c>
      <c r="AA12">
        <f t="shared" si="6"/>
        <v>19.104973174542799</v>
      </c>
      <c r="AC12">
        <f>SUM(Z4:Z14,AA4:AA14)</f>
        <v>14509.86358176377</v>
      </c>
    </row>
    <row r="13" spans="2:29" x14ac:dyDescent="0.3">
      <c r="B13">
        <v>246</v>
      </c>
      <c r="C13">
        <f t="shared" si="0"/>
        <v>246</v>
      </c>
      <c r="F13">
        <v>246</v>
      </c>
      <c r="G13" t="e">
        <f t="shared" si="1"/>
        <v>#NUM!</v>
      </c>
      <c r="J13">
        <v>246</v>
      </c>
      <c r="K13">
        <f t="shared" si="2"/>
        <v>247</v>
      </c>
      <c r="N13">
        <v>246</v>
      </c>
      <c r="O13">
        <v>4</v>
      </c>
      <c r="P13">
        <f t="shared" si="3"/>
        <v>3662186256</v>
      </c>
      <c r="S13">
        <v>246</v>
      </c>
      <c r="T13" t="str">
        <f t="shared" si="4"/>
        <v>CCXLVI</v>
      </c>
      <c r="V13">
        <v>246</v>
      </c>
      <c r="W13">
        <f t="shared" si="5"/>
        <v>15.684387141358123</v>
      </c>
      <c r="Z13">
        <v>246</v>
      </c>
      <c r="AA13">
        <f t="shared" si="6"/>
        <v>15.684387141358123</v>
      </c>
    </row>
    <row r="14" spans="2:29" x14ac:dyDescent="0.3">
      <c r="V14">
        <v>64</v>
      </c>
      <c r="W14">
        <f t="shared" si="5"/>
        <v>8</v>
      </c>
      <c r="Z14">
        <v>64</v>
      </c>
      <c r="AA14">
        <f t="shared" si="6"/>
        <v>8</v>
      </c>
    </row>
    <row r="16" spans="2:29" x14ac:dyDescent="0.3">
      <c r="AA16">
        <f>SUM(Z4:Z14,SUM(AA4:AA14))</f>
        <v>14509.863581763766</v>
      </c>
    </row>
    <row r="17" spans="3:28" x14ac:dyDescent="0.3">
      <c r="C17" s="2" t="s">
        <v>16</v>
      </c>
      <c r="D17" s="2"/>
      <c r="J17" s="2" t="s">
        <v>17</v>
      </c>
      <c r="K17" s="2"/>
      <c r="L17" s="2"/>
    </row>
    <row r="18" spans="3:28" x14ac:dyDescent="0.3">
      <c r="C18" s="1" t="s">
        <v>10</v>
      </c>
      <c r="D18" s="1" t="s">
        <v>11</v>
      </c>
      <c r="J18" s="1" t="s">
        <v>10</v>
      </c>
      <c r="K18" s="1" t="s">
        <v>11</v>
      </c>
      <c r="L18" s="1" t="s">
        <v>18</v>
      </c>
      <c r="T18" s="2" t="s">
        <v>24</v>
      </c>
      <c r="U18" s="2"/>
    </row>
    <row r="19" spans="3:28" x14ac:dyDescent="0.3">
      <c r="C19" t="s">
        <v>12</v>
      </c>
      <c r="D19">
        <v>25</v>
      </c>
      <c r="F19" s="3" t="s">
        <v>10</v>
      </c>
      <c r="G19" s="3" t="s">
        <v>15</v>
      </c>
      <c r="H19" s="3"/>
      <c r="J19" t="s">
        <v>12</v>
      </c>
      <c r="K19">
        <v>25</v>
      </c>
      <c r="L19" t="s">
        <v>19</v>
      </c>
      <c r="N19" s="3" t="s">
        <v>10</v>
      </c>
      <c r="O19" s="3" t="s">
        <v>23</v>
      </c>
      <c r="P19" s="3" t="s">
        <v>15</v>
      </c>
      <c r="T19" s="1" t="s">
        <v>25</v>
      </c>
      <c r="U19" s="1" t="s">
        <v>26</v>
      </c>
      <c r="Z19">
        <f>SUM(Z4:Z14)</f>
        <v>14292</v>
      </c>
      <c r="AA19">
        <f>SUM(AA4:AA14)</f>
        <v>217.86358176376601</v>
      </c>
      <c r="AB19">
        <f>SUM(Z19:AA19)</f>
        <v>14509.863581763766</v>
      </c>
    </row>
    <row r="20" spans="3:28" x14ac:dyDescent="0.3">
      <c r="C20" t="s">
        <v>13</v>
      </c>
      <c r="D20">
        <v>35</v>
      </c>
      <c r="F20" t="s">
        <v>12</v>
      </c>
      <c r="G20">
        <f ca="1">SUMIF(C19:D28,C19,D19:D28)</f>
        <v>315</v>
      </c>
      <c r="J20" t="s">
        <v>13</v>
      </c>
      <c r="K20">
        <v>35</v>
      </c>
      <c r="L20" t="s">
        <v>20</v>
      </c>
      <c r="N20" t="s">
        <v>12</v>
      </c>
      <c r="O20" t="s">
        <v>19</v>
      </c>
      <c r="P20">
        <f>SUMIFS(K19:K28,J19:J28,N20,L19:L28,O20)</f>
        <v>185</v>
      </c>
      <c r="T20">
        <v>7</v>
      </c>
      <c r="U20">
        <f>EVEN(T20)</f>
        <v>8</v>
      </c>
    </row>
    <row r="21" spans="3:28" x14ac:dyDescent="0.3">
      <c r="C21" t="s">
        <v>12</v>
      </c>
      <c r="D21">
        <v>45</v>
      </c>
      <c r="F21" t="s">
        <v>13</v>
      </c>
      <c r="G21">
        <f ca="1">SUMIF(C19:D28,C20,D19:D28)</f>
        <v>150</v>
      </c>
      <c r="J21" t="s">
        <v>12</v>
      </c>
      <c r="K21">
        <v>45</v>
      </c>
      <c r="L21" t="s">
        <v>21</v>
      </c>
      <c r="N21" t="s">
        <v>13</v>
      </c>
      <c r="O21" t="s">
        <v>20</v>
      </c>
      <c r="P21">
        <f t="shared" ref="P21:P22" si="7">SUMIFS(K20:K29,J20:J29,N21,L20:L29,O21)</f>
        <v>150</v>
      </c>
      <c r="T21">
        <v>13</v>
      </c>
      <c r="U21">
        <f t="shared" ref="U21:U29" si="8">EVEN(T21)</f>
        <v>14</v>
      </c>
    </row>
    <row r="22" spans="3:28" x14ac:dyDescent="0.3">
      <c r="C22" t="s">
        <v>14</v>
      </c>
      <c r="D22">
        <v>55</v>
      </c>
      <c r="F22" t="s">
        <v>14</v>
      </c>
      <c r="G22">
        <f ca="1">SUMIF(C20:D29,C21,D20:D29)</f>
        <v>290</v>
      </c>
      <c r="J22" t="s">
        <v>14</v>
      </c>
      <c r="K22">
        <v>55</v>
      </c>
      <c r="L22" t="s">
        <v>22</v>
      </c>
      <c r="N22" t="s">
        <v>14</v>
      </c>
      <c r="O22" t="s">
        <v>22</v>
      </c>
      <c r="P22">
        <f t="shared" si="7"/>
        <v>130</v>
      </c>
      <c r="T22">
        <v>14</v>
      </c>
      <c r="U22">
        <f t="shared" si="8"/>
        <v>14</v>
      </c>
    </row>
    <row r="23" spans="3:28" x14ac:dyDescent="0.3">
      <c r="C23" t="s">
        <v>12</v>
      </c>
      <c r="D23">
        <v>65</v>
      </c>
      <c r="J23" t="s">
        <v>12</v>
      </c>
      <c r="K23">
        <v>65</v>
      </c>
      <c r="L23" t="s">
        <v>19</v>
      </c>
      <c r="T23">
        <v>19</v>
      </c>
      <c r="U23">
        <f t="shared" si="8"/>
        <v>20</v>
      </c>
    </row>
    <row r="24" spans="3:28" x14ac:dyDescent="0.3">
      <c r="C24" t="s">
        <v>14</v>
      </c>
      <c r="D24">
        <v>75</v>
      </c>
      <c r="J24" t="s">
        <v>14</v>
      </c>
      <c r="K24">
        <v>75</v>
      </c>
      <c r="L24" t="s">
        <v>22</v>
      </c>
      <c r="T24">
        <v>23</v>
      </c>
      <c r="U24">
        <f t="shared" si="8"/>
        <v>24</v>
      </c>
    </row>
    <row r="25" spans="3:28" x14ac:dyDescent="0.3">
      <c r="C25" t="s">
        <v>12</v>
      </c>
      <c r="D25">
        <v>85</v>
      </c>
      <c r="J25" t="s">
        <v>12</v>
      </c>
      <c r="K25">
        <v>85</v>
      </c>
      <c r="L25" t="s">
        <v>21</v>
      </c>
      <c r="T25">
        <v>63</v>
      </c>
      <c r="U25">
        <f t="shared" si="8"/>
        <v>64</v>
      </c>
    </row>
    <row r="26" spans="3:28" x14ac:dyDescent="0.3">
      <c r="C26" t="s">
        <v>12</v>
      </c>
      <c r="D26">
        <v>95</v>
      </c>
      <c r="J26" t="s">
        <v>12</v>
      </c>
      <c r="K26">
        <v>95</v>
      </c>
      <c r="L26" t="s">
        <v>19</v>
      </c>
      <c r="T26">
        <v>1478</v>
      </c>
      <c r="U26">
        <f t="shared" si="8"/>
        <v>1478</v>
      </c>
    </row>
    <row r="27" spans="3:28" x14ac:dyDescent="0.3">
      <c r="C27" t="s">
        <v>14</v>
      </c>
      <c r="D27">
        <v>105</v>
      </c>
      <c r="J27" t="s">
        <v>14</v>
      </c>
      <c r="K27">
        <v>105</v>
      </c>
      <c r="L27" t="s">
        <v>19</v>
      </c>
      <c r="T27">
        <v>12000</v>
      </c>
      <c r="U27">
        <f t="shared" si="8"/>
        <v>12000</v>
      </c>
    </row>
    <row r="28" spans="3:28" x14ac:dyDescent="0.3">
      <c r="C28" t="s">
        <v>13</v>
      </c>
      <c r="D28">
        <v>115</v>
      </c>
      <c r="J28" t="s">
        <v>13</v>
      </c>
      <c r="K28">
        <v>115</v>
      </c>
      <c r="L28" t="s">
        <v>20</v>
      </c>
      <c r="T28">
        <v>365</v>
      </c>
      <c r="U28">
        <f t="shared" si="8"/>
        <v>366</v>
      </c>
    </row>
    <row r="29" spans="3:28" x14ac:dyDescent="0.3">
      <c r="T29">
        <v>246</v>
      </c>
      <c r="U29">
        <f t="shared" si="8"/>
        <v>246</v>
      </c>
    </row>
    <row r="31" spans="3:28" x14ac:dyDescent="0.3">
      <c r="T31" s="1" t="s">
        <v>27</v>
      </c>
      <c r="V31">
        <f>SUMPRODUCT(T20:T29,U20:U29)</f>
        <v>146383988</v>
      </c>
    </row>
    <row r="32" spans="3:28" x14ac:dyDescent="0.3">
      <c r="C32" s="2" t="s">
        <v>28</v>
      </c>
      <c r="D32" s="2"/>
      <c r="E32" s="2"/>
      <c r="F32" s="2"/>
    </row>
    <row r="33" spans="3:5" x14ac:dyDescent="0.3">
      <c r="C33" s="1" t="s">
        <v>1</v>
      </c>
      <c r="D33" s="1" t="s">
        <v>29</v>
      </c>
      <c r="E33" s="1" t="s">
        <v>2</v>
      </c>
    </row>
    <row r="34" spans="3:5" x14ac:dyDescent="0.3">
      <c r="C34">
        <v>7</v>
      </c>
      <c r="D34">
        <v>2.6457513110645907</v>
      </c>
      <c r="E34">
        <f>INT(D34)</f>
        <v>2</v>
      </c>
    </row>
    <row r="35" spans="3:5" x14ac:dyDescent="0.3">
      <c r="C35">
        <v>13</v>
      </c>
      <c r="D35">
        <v>3.6055512754639891</v>
      </c>
      <c r="E35">
        <f t="shared" ref="E35:E44" si="9">INT(D35)</f>
        <v>3</v>
      </c>
    </row>
    <row r="36" spans="3:5" x14ac:dyDescent="0.3">
      <c r="C36">
        <v>14</v>
      </c>
      <c r="D36">
        <v>3.7416573867739413</v>
      </c>
      <c r="E36">
        <f t="shared" si="9"/>
        <v>3</v>
      </c>
    </row>
    <row r="37" spans="3:5" x14ac:dyDescent="0.3">
      <c r="C37">
        <v>19</v>
      </c>
      <c r="D37">
        <v>4.358898943540674</v>
      </c>
      <c r="E37">
        <f t="shared" si="9"/>
        <v>4</v>
      </c>
    </row>
    <row r="38" spans="3:5" x14ac:dyDescent="0.3">
      <c r="C38">
        <v>23</v>
      </c>
      <c r="D38">
        <v>4.7958315233127191</v>
      </c>
      <c r="E38">
        <f t="shared" si="9"/>
        <v>4</v>
      </c>
    </row>
    <row r="39" spans="3:5" x14ac:dyDescent="0.3">
      <c r="C39">
        <v>63</v>
      </c>
      <c r="D39">
        <v>7.9372539331937721</v>
      </c>
      <c r="E39">
        <f t="shared" si="9"/>
        <v>7</v>
      </c>
    </row>
    <row r="40" spans="3:5" x14ac:dyDescent="0.3">
      <c r="C40">
        <v>1478</v>
      </c>
      <c r="D40">
        <v>38.444765573482172</v>
      </c>
      <c r="E40">
        <f t="shared" si="9"/>
        <v>38</v>
      </c>
    </row>
    <row r="41" spans="3:5" x14ac:dyDescent="0.3">
      <c r="C41">
        <v>12000</v>
      </c>
      <c r="D41">
        <v>109.54451150103323</v>
      </c>
      <c r="E41">
        <f t="shared" si="9"/>
        <v>109</v>
      </c>
    </row>
    <row r="42" spans="3:5" x14ac:dyDescent="0.3">
      <c r="C42">
        <v>365</v>
      </c>
      <c r="D42">
        <v>19.104973174542799</v>
      </c>
      <c r="E42">
        <f t="shared" si="9"/>
        <v>19</v>
      </c>
    </row>
    <row r="43" spans="3:5" x14ac:dyDescent="0.3">
      <c r="C43">
        <v>246</v>
      </c>
      <c r="D43">
        <v>15.684387141358123</v>
      </c>
      <c r="E43">
        <f t="shared" si="9"/>
        <v>15</v>
      </c>
    </row>
    <row r="44" spans="3:5" x14ac:dyDescent="0.3">
      <c r="C44">
        <v>64</v>
      </c>
      <c r="D44">
        <v>8</v>
      </c>
      <c r="E44">
        <f t="shared" si="9"/>
        <v>8</v>
      </c>
    </row>
  </sheetData>
  <mergeCells count="12">
    <mergeCell ref="T18:U18"/>
    <mergeCell ref="C32:D32"/>
    <mergeCell ref="E32:F32"/>
    <mergeCell ref="V2:W2"/>
    <mergeCell ref="Z2:AA2"/>
    <mergeCell ref="C17:D17"/>
    <mergeCell ref="J17:L17"/>
    <mergeCell ref="B2:C2"/>
    <mergeCell ref="F2:G2"/>
    <mergeCell ref="J2:K2"/>
    <mergeCell ref="N2:P2"/>
    <mergeCell ref="S2:T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</dc:creator>
  <cp:lastModifiedBy>Bunny</cp:lastModifiedBy>
  <dcterms:created xsi:type="dcterms:W3CDTF">2026-01-03T01:27:38Z</dcterms:created>
  <dcterms:modified xsi:type="dcterms:W3CDTF">2026-01-03T23:13:20Z</dcterms:modified>
</cp:coreProperties>
</file>