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"/>
    </mc:Choice>
  </mc:AlternateContent>
  <xr:revisionPtr revIDLastSave="0" documentId="13_ncr:1_{36E17CD7-8CAF-4440-B6CD-38818382A2E4}" xr6:coauthVersionLast="47" xr6:coauthVersionMax="47" xr10:uidLastSave="{00000000-0000-0000-0000-000000000000}"/>
  <bookViews>
    <workbookView xWindow="-108" yWindow="-108" windowWidth="23256" windowHeight="12456" xr2:uid="{17D0E23E-C868-45FF-AC25-547FFF852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1" l="1" a="1"/>
  <c r="E21" i="1" s="1"/>
  <c r="P10" i="1"/>
  <c r="P12" i="1"/>
  <c r="P11" i="1"/>
  <c r="K11" i="1"/>
  <c r="K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<sst xmlns="http://schemas.openxmlformats.org/spreadsheetml/2006/main" count="32" uniqueCount="23">
  <si>
    <t>FV</t>
  </si>
  <si>
    <t>Future Value</t>
  </si>
  <si>
    <t>PMT</t>
  </si>
  <si>
    <t>Annuity Payment  (Installment)</t>
  </si>
  <si>
    <t>IPMT</t>
  </si>
  <si>
    <t>Interest value of annuity payment</t>
  </si>
  <si>
    <t>PPMT</t>
  </si>
  <si>
    <t>Principal value of annuity payment</t>
  </si>
  <si>
    <t>RATE</t>
  </si>
  <si>
    <t>Interest</t>
  </si>
  <si>
    <t>NPER</t>
  </si>
  <si>
    <t>Number of periods</t>
  </si>
  <si>
    <t>PV</t>
  </si>
  <si>
    <t>Present value</t>
  </si>
  <si>
    <t xml:space="preserve">Financial </t>
  </si>
  <si>
    <t>FV (Future Value)</t>
  </si>
  <si>
    <t>RD  Premium</t>
  </si>
  <si>
    <t>Month</t>
  </si>
  <si>
    <t>Rate of In</t>
  </si>
  <si>
    <t>PMT  /  IPMT  / PPMT</t>
  </si>
  <si>
    <t>Loan</t>
  </si>
  <si>
    <t>Period in Months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</si>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</sst>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8" formatCode="_([$NPR]\ * #,##0.00_);_([$NPR]\ * \(#,##0.00\);_([$NPR]\ * &quot;-&quot;??_);_(@_)"/>
    <numFmt numFmtId="170" formatCode="[$NPR]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2060"/>
      <name val="Vrinda"/>
      <family val="2"/>
    </font>
    <font>
      <b/>
      <sz val="12"/>
      <color rgb="FF00206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5" fillId="3" borderId="0" xfId="0" applyNumberFormat="1" applyFont="1" applyFill="1" applyAlignment="1">
      <alignment horizontal="center"/>
    </xf>
    <xf numFmtId="0" fontId="0" fillId="0" borderId="0" xfId="0"/>
    <xf numFmtId="0" fontId="3" fillId="2" borderId="0" xfId="0" applyNumberFormat="1" applyFont="1" applyFill="1" applyAlignment="1">
      <alignment horizontal="center"/>
    </xf>
    <xf numFmtId="0" fontId="4" fillId="2" borderId="0" xfId="0" applyNumberFormat="1" applyFont="1" applyFill="1"/>
    <xf numFmtId="8" fontId="0" fillId="0" borderId="0" xfId="0" applyNumberFormat="1"/>
    <xf numFmtId="43" fontId="0" fillId="0" borderId="0" xfId="1" applyFont="1"/>
    <xf numFmtId="9" fontId="0" fillId="0" borderId="0" xfId="0" applyNumberFormat="1"/>
    <xf numFmtId="0" fontId="5" fillId="4" borderId="0" xfId="0" applyNumberFormat="1" applyFont="1" applyFill="1" applyAlignment="1"/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10" fontId="0" fillId="0" borderId="0" xfId="0" applyNumberFormat="1"/>
    <xf numFmtId="0" fontId="6" fillId="0" borderId="0" xfId="0" applyFont="1"/>
    <xf numFmtId="168" fontId="0" fillId="0" borderId="0" xfId="1" applyNumberFormat="1" applyFont="1"/>
    <xf numFmtId="170" fontId="0" fillId="0" borderId="0" xfId="0" applyNumberFormat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66FB-1DFA-49D3-88D4-64D1B7804F38}">
  <dimension ref="C4:P21"/>
  <sheetViews>
    <sheetView tabSelected="1" workbookViewId="0">
      <selection activeCell="E21" sqref="E21"/>
    </sheetView>
  </sheetViews>
  <sheetFormatPr defaultRowHeight="14.4" x14ac:dyDescent="0.3"/>
  <cols>
    <col min="4" max="4" width="27.77734375" customWidth="1"/>
    <col min="5" max="5" width="9.77734375" bestFit="1" customWidth="1"/>
    <col min="11" max="11" width="14.77734375" bestFit="1" customWidth="1"/>
    <col min="15" max="15" width="15.6640625" customWidth="1"/>
    <col min="16" max="16" width="11.21875" bestFit="1" customWidth="1"/>
  </cols>
  <sheetData>
    <row r="4" spans="3:16" ht="16.8" customHeight="1" x14ac:dyDescent="0.4">
      <c r="C4" s="1" t="s">
        <v>14</v>
      </c>
      <c r="D4" s="1"/>
      <c r="E4" s="8"/>
      <c r="I4" s="10" t="s">
        <v>15</v>
      </c>
      <c r="J4" s="9"/>
      <c r="O4" s="10" t="s">
        <v>19</v>
      </c>
      <c r="P4" s="9"/>
    </row>
    <row r="5" spans="3:16" x14ac:dyDescent="0.3">
      <c r="C5" s="3" t="s">
        <v>0</v>
      </c>
      <c r="D5" s="4" t="s">
        <v>1</v>
      </c>
    </row>
    <row r="6" spans="3:16" x14ac:dyDescent="0.3">
      <c r="C6" s="3" t="s">
        <v>2</v>
      </c>
      <c r="D6" s="4" t="s">
        <v>3</v>
      </c>
      <c r="I6" t="s">
        <v>16</v>
      </c>
      <c r="K6">
        <v>1200</v>
      </c>
      <c r="O6" t="s">
        <v>20</v>
      </c>
      <c r="P6">
        <v>1500000</v>
      </c>
    </row>
    <row r="7" spans="3:16" x14ac:dyDescent="0.3">
      <c r="C7" s="3" t="s">
        <v>4</v>
      </c>
      <c r="D7" s="4" t="s">
        <v>5</v>
      </c>
      <c r="I7" t="s">
        <v>17</v>
      </c>
      <c r="K7">
        <v>18</v>
      </c>
      <c r="O7" t="s">
        <v>21</v>
      </c>
      <c r="P7">
        <v>60</v>
      </c>
    </row>
    <row r="8" spans="3:16" x14ac:dyDescent="0.3">
      <c r="C8" s="3" t="s">
        <v>6</v>
      </c>
      <c r="D8" s="4" t="s">
        <v>7</v>
      </c>
      <c r="I8" t="s">
        <v>18</v>
      </c>
      <c r="K8" s="11">
        <v>0.05</v>
      </c>
      <c r="O8" t="s">
        <v>18</v>
      </c>
      <c r="P8" s="7">
        <v>0.04</v>
      </c>
    </row>
    <row r="9" spans="3:16" x14ac:dyDescent="0.3">
      <c r="C9" s="3" t="s">
        <v>8</v>
      </c>
      <c r="D9" s="4" t="s">
        <v>9</v>
      </c>
    </row>
    <row r="10" spans="3:16" ht="15.6" x14ac:dyDescent="0.3">
      <c r="C10" s="3" t="s">
        <v>10</v>
      </c>
      <c r="D10" s="4" t="s">
        <v>11</v>
      </c>
      <c r="I10" s="12" t="s">
        <v>0</v>
      </c>
      <c r="K10" s="13">
        <f>FV(K8/12,K7,K6,,0)</f>
        <v>-22382.268752136093</v>
      </c>
      <c r="O10" s="12" t="s">
        <v>2</v>
      </c>
      <c r="P10" s="5">
        <f>PMT(P8/12,P7,P6,,0)</f>
        <v>-27624.783082899528</v>
      </c>
    </row>
    <row r="11" spans="3:16" ht="15.6" x14ac:dyDescent="0.3">
      <c r="C11" s="3" t="s">
        <v>12</v>
      </c>
      <c r="D11" s="4" t="s">
        <v>13</v>
      </c>
      <c r="K11" s="14">
        <f>FV(K8/12,K7,K6,,1)</f>
        <v>-22475.528205269991</v>
      </c>
      <c r="O11" s="12" t="s">
        <v>4</v>
      </c>
      <c r="P11" s="5">
        <f>IPMT(P8/12,2,P7,P6,,0)</f>
        <v>-4924.5840563903339</v>
      </c>
    </row>
    <row r="12" spans="3:16" ht="15.6" x14ac:dyDescent="0.3">
      <c r="K12" s="6"/>
      <c r="O12" s="12" t="s">
        <v>6</v>
      </c>
      <c r="P12" s="5">
        <f>PPMT(P8/12,2,P7,P6)</f>
        <v>-22700.199026509192</v>
      </c>
    </row>
    <row r="16" spans="3:16" x14ac:dyDescent="0.3">
      <c r="D16" s="10" t="s">
        <v>22</v>
      </c>
      <c r="E16" s="9"/>
    </row>
    <row r="17" spans="4:5" x14ac:dyDescent="0.3">
      <c r="D17" t="s">
        <v>20</v>
      </c>
      <c r="E17" s="2">
        <v>1500000</v>
      </c>
    </row>
    <row r="18" spans="4:5" x14ac:dyDescent="0.3">
      <c r="D18" t="s">
        <v>21</v>
      </c>
      <c r="E18">
        <v>60</v>
      </c>
    </row>
    <row r="19" spans="4:5" x14ac:dyDescent="0.3">
      <c r="D19" t="s">
        <v>2</v>
      </c>
      <c r="E19" s="15">
        <v>-27624.783082899499</v>
      </c>
    </row>
    <row r="21" spans="4:5" ht="15.6" x14ac:dyDescent="0.3">
      <c r="D21" s="12" t="s">
        <v>22</v>
      </c>
      <c r="E21" s="7" t="e" cm="1">
        <f t="array" ref="E21">RATE(P10+P10+E19E18,E19,E17,,0)</f>
        <v>#NAME?</v>
      </c>
    </row>
  </sheetData>
  <mergeCells count="4">
    <mergeCell ref="C4:D4"/>
    <mergeCell ref="I4:J4"/>
    <mergeCell ref="O4:P4"/>
    <mergeCell ref="D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2026-01-08T13:24:19Z</dcterms:created>
  <dcterms:modified xsi:type="dcterms:W3CDTF">2026-01-08T14:11:13Z</dcterms:modified>
</cp:coreProperties>
</file>